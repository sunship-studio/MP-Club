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lient Dashboard" sheetId="1" r:id="rId4"/>
    <sheet state="hidden" name="Daily Tracker" sheetId="2" r:id="rId5"/>
    <sheet state="hidden" name="Check-In" sheetId="3" r:id="rId6"/>
    <sheet state="hidden" name="BW Tracker" sheetId="4" r:id="rId7"/>
    <sheet state="hidden" name="Measurements" sheetId="5" r:id="rId8"/>
    <sheet state="visible" name="Resistance Training" sheetId="6" r:id="rId9"/>
    <sheet state="hidden" name="Sheet10" sheetId="7" r:id="rId10"/>
    <sheet state="hidden" name="Sheet9" sheetId="8" r:id="rId11"/>
    <sheet state="hidden" name="Meal Plan - 2 Day" sheetId="9" r:id="rId12"/>
    <sheet state="hidden" name="Meal Plan - 7 Day" sheetId="10" r:id="rId13"/>
    <sheet state="hidden" name="Food List" sheetId="11" r:id="rId14"/>
    <sheet state="hidden" name="Exercise List" sheetId="12" r:id="rId15"/>
  </sheets>
  <definedNames/>
  <calcPr/>
</workbook>
</file>

<file path=xl/sharedStrings.xml><?xml version="1.0" encoding="utf-8"?>
<sst xmlns="http://schemas.openxmlformats.org/spreadsheetml/2006/main" count="2180" uniqueCount="812">
  <si>
    <t>MAHON PERFORMANCE</t>
  </si>
  <si>
    <t xml:space="preserve">
</t>
  </si>
  <si>
    <t>NAME</t>
  </si>
  <si>
    <t>Becky Marlow</t>
  </si>
  <si>
    <t>COACH'S NOTES</t>
  </si>
  <si>
    <r>
      <rPr>
        <rFont val="Nunito"/>
        <b/>
        <color theme="1"/>
      </rPr>
      <t xml:space="preserve">AGE </t>
    </r>
    <r>
      <rPr>
        <rFont val="Nunito"/>
        <b val="0"/>
        <color theme="1"/>
      </rPr>
      <t>(yrs)</t>
    </r>
  </si>
  <si>
    <r>
      <rPr>
        <rFont val="Nunito"/>
        <b/>
        <color theme="1"/>
      </rPr>
      <t xml:space="preserve">HEIGHT </t>
    </r>
    <r>
      <rPr>
        <rFont val="Nunito"/>
        <b val="0"/>
        <color theme="1"/>
      </rPr>
      <t>(cm)</t>
    </r>
  </si>
  <si>
    <r>
      <rPr>
        <rFont val="Nunito"/>
        <b/>
        <color theme="1"/>
      </rPr>
      <t xml:space="preserve">START WEIGHT </t>
    </r>
    <r>
      <rPr>
        <rFont val="Nunito"/>
        <b val="0"/>
        <color theme="1"/>
      </rPr>
      <t>(kg)</t>
    </r>
  </si>
  <si>
    <t>TARGETS</t>
  </si>
  <si>
    <r>
      <rPr>
        <rFont val="Nunito"/>
        <b/>
        <color theme="1"/>
      </rPr>
      <t xml:space="preserve">CURRENT WEIGHT </t>
    </r>
    <r>
      <rPr>
        <rFont val="Nunito"/>
        <b val="0"/>
        <color theme="1"/>
      </rPr>
      <t>(kg)</t>
    </r>
  </si>
  <si>
    <t>DAY</t>
  </si>
  <si>
    <t>TD</t>
  </si>
  <si>
    <t>NTD</t>
  </si>
  <si>
    <t>CALS</t>
  </si>
  <si>
    <t>START DATE</t>
  </si>
  <si>
    <t>PRO</t>
  </si>
  <si>
    <t>CURRENT WEEK</t>
  </si>
  <si>
    <t>CHO</t>
  </si>
  <si>
    <t>OVERARCHING GOAL</t>
  </si>
  <si>
    <t>Health</t>
  </si>
  <si>
    <t>FAT</t>
  </si>
  <si>
    <t>GOAL DATE</t>
  </si>
  <si>
    <t>CARDIO</t>
  </si>
  <si>
    <t>20min PWO</t>
  </si>
  <si>
    <t>WEEKS UNTIL GOAL</t>
  </si>
  <si>
    <t>STEPS</t>
  </si>
  <si>
    <t>SHORT TERM GOALS - List 3 things you want to achieve in the next 3-6 MONTHS.</t>
  </si>
  <si>
    <t>LONG TERM GOALS - List 3 things you want to achieve in the next 12 MONTHS.</t>
  </si>
  <si>
    <t>CLICK HERE</t>
  </si>
  <si>
    <t>WEEK</t>
  </si>
  <si>
    <t>WEEK NO.</t>
  </si>
  <si>
    <t>DATE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</si>
  <si>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</si>
  <si>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t>MENSTRUAL CYCLE</t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</si>
  <si>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</si>
  <si>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t>NUTRITION</t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</si>
  <si>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</si>
  <si>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</si>
  <si>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</si>
  <si>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</si>
  <si>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t>ACTIVITY</t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</si>
  <si>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</si>
  <si>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</si>
  <si>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NOTES</t>
  </si>
  <si>
    <t>Weigh-in fasted</t>
  </si>
  <si>
    <t>Enter 1 when you start your period</t>
  </si>
  <si>
    <t>See dashboard or nutrition tabs for targets.</t>
  </si>
  <si>
    <t xml:space="preserve">Lower </t>
  </si>
  <si>
    <t>Lower</t>
  </si>
  <si>
    <t>Pilates</t>
  </si>
  <si>
    <t>Upper</t>
  </si>
  <si>
    <t>AVERAGES</t>
  </si>
  <si>
    <t>Also list any PMS symptoms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</si>
  <si>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</si>
  <si>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</si>
  <si>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</si>
  <si>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</si>
  <si>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</si>
  <si>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</si>
  <si>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</si>
  <si>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</si>
  <si>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</si>
  <si>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</si>
  <si>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</si>
  <si>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</si>
  <si>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</si>
  <si>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</si>
  <si>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</si>
  <si>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</si>
  <si>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</si>
  <si>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</si>
  <si>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</si>
  <si>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</si>
  <si>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</si>
  <si>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</si>
  <si>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</si>
  <si>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</si>
  <si>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 xml:space="preserve">Upper 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</si>
  <si>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</si>
  <si>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</si>
  <si>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</si>
  <si>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</si>
  <si>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</si>
  <si>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</si>
  <si>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</si>
  <si>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</si>
  <si>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Lowrr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</si>
  <si>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</si>
  <si>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</si>
  <si>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</si>
  <si>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</si>
  <si>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</si>
  <si>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</si>
  <si>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</si>
  <si>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</si>
  <si>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)</t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</si>
  <si>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</si>
  <si>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</si>
  <si>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</si>
  <si>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</si>
  <si>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</si>
  <si>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</si>
  <si>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</si>
  <si>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</si>
  <si>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</si>
  <si>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</si>
  <si>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</si>
  <si>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</si>
  <si>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</si>
  <si>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</si>
  <si>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</si>
  <si>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</si>
  <si>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</si>
  <si>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</si>
  <si>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</si>
  <si>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</si>
  <si>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</si>
  <si>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</si>
  <si>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</si>
  <si>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</si>
  <si>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</si>
  <si>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</si>
  <si>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</si>
  <si>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</si>
  <si>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</si>
  <si>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</si>
  <si>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</si>
  <si>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</si>
  <si>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</si>
  <si>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</si>
  <si>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</si>
  <si>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</si>
  <si>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</si>
  <si>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</si>
  <si>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</si>
  <si>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</si>
  <si>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</si>
  <si>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</si>
  <si>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</si>
  <si>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</si>
  <si>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</si>
  <si>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</si>
  <si>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</si>
  <si>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</si>
  <si>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</si>
  <si>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</si>
  <si>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</si>
  <si>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</si>
  <si>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</si>
  <si>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</si>
  <si>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</si>
  <si>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</si>
  <si>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</si>
  <si>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</si>
  <si>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</si>
  <si>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</si>
  <si>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</si>
  <si>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</si>
  <si>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</si>
  <si>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</si>
  <si>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</si>
  <si>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</si>
  <si>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</si>
  <si>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</si>
  <si>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</si>
  <si>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</si>
  <si>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</si>
  <si>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</si>
  <si>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</si>
  <si>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</si>
  <si>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</si>
  <si>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</si>
  <si>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</si>
  <si>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</si>
  <si>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</si>
  <si>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</si>
  <si>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</si>
  <si>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</si>
  <si>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</si>
  <si>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</si>
  <si>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</si>
  <si>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</si>
  <si>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</si>
  <si>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</si>
  <si>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</si>
  <si>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</si>
  <si>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</si>
  <si>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</si>
  <si>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</si>
  <si>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</si>
  <si>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</si>
  <si>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</si>
  <si>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</si>
  <si>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</si>
  <si>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</si>
  <si>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</si>
  <si>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</si>
  <si>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</si>
  <si>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</si>
  <si>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</si>
  <si>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</si>
  <si>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</si>
  <si>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</si>
  <si>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</si>
  <si>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</si>
  <si>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</si>
  <si>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</si>
  <si>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</si>
  <si>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</si>
  <si>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</si>
  <si>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</si>
  <si>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</si>
  <si>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</si>
  <si>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</si>
  <si>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</si>
  <si>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</si>
  <si>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</si>
  <si>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</si>
  <si>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</si>
  <si>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</si>
  <si>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</si>
  <si>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</si>
  <si>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</si>
  <si>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</si>
  <si>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</si>
  <si>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</si>
  <si>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</si>
  <si>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</si>
  <si>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</si>
  <si>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</si>
  <si>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</si>
  <si>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</si>
  <si>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</si>
  <si>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</si>
  <si>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</si>
  <si>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</si>
  <si>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</si>
  <si>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</si>
  <si>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</si>
  <si>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</si>
  <si>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</si>
  <si>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</si>
  <si>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</si>
  <si>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</si>
  <si>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</si>
  <si>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</si>
  <si>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</si>
  <si>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</si>
  <si>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</si>
  <si>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</si>
  <si>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</si>
  <si>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</si>
  <si>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</si>
  <si>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</si>
  <si>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</si>
  <si>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</si>
  <si>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</si>
  <si>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</si>
  <si>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</si>
  <si>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</si>
  <si>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</si>
  <si>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</si>
  <si>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</si>
  <si>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</si>
  <si>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</si>
  <si>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</si>
  <si>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</si>
  <si>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</si>
  <si>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</si>
  <si>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</si>
  <si>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</si>
  <si>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</si>
  <si>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</si>
  <si>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</si>
  <si>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</si>
  <si>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</si>
  <si>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</si>
  <si>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</si>
  <si>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</si>
  <si>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</si>
  <si>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</si>
  <si>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</si>
  <si>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</si>
  <si>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</si>
  <si>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</si>
  <si>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</si>
  <si>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</si>
  <si>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</si>
  <si>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</si>
  <si>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</si>
  <si>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</si>
  <si>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</si>
  <si>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</si>
  <si>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</si>
  <si>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</si>
  <si>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</si>
  <si>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</si>
  <si>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</si>
  <si>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</si>
  <si>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</si>
  <si>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</si>
  <si>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</si>
  <si>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</si>
  <si>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</si>
  <si>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</si>
  <si>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</si>
  <si>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</si>
  <si>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</si>
  <si>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</si>
  <si>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</si>
  <si>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</si>
  <si>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</si>
  <si>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</si>
  <si>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</si>
  <si>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</si>
  <si>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</si>
  <si>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</si>
  <si>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</si>
  <si>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</si>
  <si>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</si>
  <si>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</si>
  <si>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</si>
  <si>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</si>
  <si>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</si>
  <si>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</si>
  <si>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</si>
  <si>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</si>
  <si>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</si>
  <si>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</si>
  <si>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</si>
  <si>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</si>
  <si>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</si>
  <si>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</si>
  <si>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</si>
  <si>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</si>
  <si>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</si>
  <si>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</si>
  <si>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</si>
  <si>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</si>
  <si>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</si>
  <si>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</si>
  <si>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</si>
  <si>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</si>
  <si>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</si>
  <si>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</si>
  <si>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</si>
  <si>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</si>
  <si>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</si>
  <si>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</si>
  <si>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</si>
  <si>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</si>
  <si>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</si>
  <si>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</si>
  <si>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</si>
  <si>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</si>
  <si>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</si>
  <si>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</si>
  <si>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</si>
  <si>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</si>
  <si>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</si>
  <si>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</si>
  <si>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</si>
  <si>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</si>
  <si>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</si>
  <si>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</si>
  <si>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</si>
  <si>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</si>
  <si>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</si>
  <si>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</si>
  <si>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</si>
  <si>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</si>
  <si>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</si>
  <si>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</si>
  <si>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</si>
  <si>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</si>
  <si>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</si>
  <si>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</si>
  <si>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</si>
  <si>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</si>
  <si>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</si>
  <si>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</si>
  <si>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</si>
  <si>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</si>
  <si>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</si>
  <si>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</si>
  <si>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</si>
  <si>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</si>
  <si>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</si>
  <si>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</si>
  <si>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</si>
  <si>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</si>
  <si>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</si>
  <si>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</si>
  <si>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</si>
  <si>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</si>
  <si>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</si>
  <si>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</si>
  <si>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</si>
  <si>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</si>
  <si>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</si>
  <si>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</si>
  <si>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</si>
  <si>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</si>
  <si>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</si>
  <si>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</si>
  <si>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</si>
  <si>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</si>
  <si>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</si>
  <si>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</si>
  <si>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</si>
  <si>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</si>
  <si>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</si>
  <si>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</si>
  <si>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</si>
  <si>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</si>
  <si>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</si>
  <si>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</si>
  <si>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</si>
  <si>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</si>
  <si>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</si>
  <si>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</si>
  <si>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</si>
  <si>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</si>
  <si>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</si>
  <si>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</si>
  <si>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</si>
  <si>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</si>
  <si>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</si>
  <si>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</si>
  <si>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</si>
  <si>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</si>
  <si>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</si>
  <si>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</si>
  <si>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</si>
  <si>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</si>
  <si>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</si>
  <si>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</si>
  <si>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</si>
  <si>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</si>
  <si>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</si>
  <si>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</si>
  <si>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</si>
  <si>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</si>
  <si>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</si>
  <si>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</si>
  <si>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</si>
  <si>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</si>
  <si>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</si>
  <si>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</si>
  <si>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</si>
  <si>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</si>
  <si>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</si>
  <si>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</si>
  <si>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</si>
  <si>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</si>
  <si>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</si>
  <si>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r>
      <rPr>
        <rFont val="Nunito"/>
        <b/>
        <color theme="1"/>
        <sz val="9.0"/>
      </rPr>
      <t>BODYWEIGHT</t>
    </r>
    <r>
      <rPr>
        <rFont val="Nunito"/>
        <b val="0"/>
        <color theme="1"/>
        <sz val="9.0"/>
      </rPr>
      <t xml:space="preserve"> (kg)</t>
    </r>
  </si>
  <si>
    <r>
      <rPr>
        <rFont val="Nunito"/>
        <b/>
        <color theme="1"/>
        <sz val="9.0"/>
      </rPr>
      <t xml:space="preserve">MENSTRUAL CYCLE
</t>
    </r>
    <r>
      <rPr>
        <rFont val="Nunito"/>
        <b val="0"/>
        <color theme="1"/>
        <sz val="7.0"/>
      </rPr>
      <t>Day // Symptoms</t>
    </r>
  </si>
  <si>
    <r>
      <rPr>
        <rFont val="Nunito"/>
        <b/>
        <color theme="1"/>
        <sz val="9.0"/>
      </rPr>
      <t xml:space="preserve">CALORIES
</t>
    </r>
    <r>
      <rPr>
        <rFont val="Nunito"/>
        <b val="0"/>
        <color theme="1"/>
        <sz val="9.0"/>
      </rPr>
      <t>(kcals)</t>
    </r>
  </si>
  <si>
    <r>
      <rPr>
        <rFont val="Nunito"/>
        <b/>
        <color theme="1"/>
        <sz val="9.0"/>
      </rPr>
      <t xml:space="preserve">PRO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</si>
  <si>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CHO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</si>
  <si>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FAT
</t>
    </r>
    <r>
      <rPr>
        <rFont val="Nunito"/>
        <b val="0"/>
        <color theme="1"/>
        <sz val="9.0"/>
      </rPr>
      <t>(g)</t>
    </r>
  </si>
  <si>
    <r>
      <rPr>
        <rFont val="Nunito"/>
        <b/>
        <color theme="1"/>
        <sz val="9.0"/>
      </rPr>
      <t xml:space="preserve">CARDIO
</t>
    </r>
    <r>
      <rPr>
        <rFont val="Nunito"/>
        <b val="0"/>
        <color theme="1"/>
        <sz val="9.0"/>
      </rPr>
      <t>(mins)</t>
    </r>
  </si>
  <si>
    <r>
      <rPr>
        <rFont val="Nunito"/>
        <b/>
        <color theme="1"/>
        <sz val="9.0"/>
      </rPr>
      <t xml:space="preserve">RESISTANCE TRAINING
</t>
    </r>
    <r>
      <rPr>
        <rFont val="Nunito"/>
        <b val="0"/>
        <color theme="1"/>
        <sz val="7.0"/>
      </rPr>
      <t>Which session?</t>
    </r>
  </si>
  <si>
    <t>Template and Design by Lucia Hughes</t>
  </si>
  <si>
    <t>QUESTIONS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</si>
  <si>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</si>
  <si>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</si>
  <si>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</si>
  <si>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</si>
  <si>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</si>
  <si>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</si>
  <si>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</si>
  <si>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</si>
  <si>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</si>
  <si>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</si>
  <si>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</si>
  <si>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</si>
  <si>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</si>
  <si>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</si>
  <si>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</si>
  <si>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</si>
  <si>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</si>
  <si>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</si>
  <si>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</si>
  <si>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</si>
  <si>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</si>
  <si>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</si>
  <si>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</si>
  <si>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</si>
  <si>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</si>
  <si>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</si>
  <si>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</si>
  <si>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</si>
  <si>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</si>
  <si>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</si>
  <si>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</si>
  <si>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</si>
  <si>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</si>
  <si>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</si>
  <si>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</si>
  <si>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</si>
  <si>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</si>
  <si>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</si>
  <si>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</si>
  <si>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</si>
  <si>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</si>
  <si>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</si>
  <si>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</si>
  <si>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</si>
  <si>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</si>
  <si>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</si>
  <si>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</si>
  <si>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</si>
  <si>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</si>
  <si>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</si>
  <si>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</si>
  <si>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</si>
  <si>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 xml:space="preserve">
</t>
  </si>
  <si>
    <r>
      <rPr>
        <rFont val="Nunito"/>
        <color rgb="FF000000"/>
        <sz val="11.0"/>
      </rPr>
      <t>Rate your</t>
    </r>
    <r>
      <rPr>
        <rFont val="Nunito"/>
        <b/>
        <color rgb="FF000000"/>
        <sz val="11.0"/>
      </rPr>
      <t xml:space="preserve"> energy levels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</si>
  <si>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muscle soreness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</si>
  <si>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stress levels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</si>
  <si>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mood</t>
    </r>
    <r>
      <rPr>
        <rFont val="Nunito"/>
        <color rgb="FF000000"/>
        <sz val="11.0"/>
      </rPr>
      <t xml:space="preserve"> on a scale of 1-10 and list any relevant details.</t>
    </r>
  </si>
  <si>
    <t>How was your readiness to train/motivation levels?</t>
  </si>
  <si>
    <t>How was your strength and performance during training this week?</t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</si>
  <si>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dietary adherence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</si>
  <si>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hunger/appetite</t>
    </r>
    <r>
      <rPr>
        <rFont val="Nunito"/>
        <color rgb="FF000000"/>
        <sz val="11.0"/>
      </rPr>
      <t xml:space="preserve"> on a scale of 1-10 and list any relevant details.</t>
    </r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</si>
  <si>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>cravings</t>
    </r>
    <r>
      <rPr>
        <rFont val="Nunito"/>
        <color rgb="FF000000"/>
        <sz val="11.0"/>
      </rPr>
      <t xml:space="preserve"> on a scale of 1-10 and list any relevant details.</t>
    </r>
  </si>
  <si>
    <t xml:space="preserve">
</t>
  </si>
  <si>
    <t>Have you suffered from any digestive stress or bloating? If so, are there any foods that you noticed caused these digestive issues?</t>
  </si>
  <si>
    <t>Average hours of sleep per night?</t>
  </si>
  <si>
    <t>Average bed time?</t>
  </si>
  <si>
    <t>Average wake time?</t>
  </si>
  <si>
    <r>
      <rPr>
        <rFont val="Nunito"/>
        <color rgb="FF000000"/>
        <sz val="11.0"/>
      </rPr>
      <t xml:space="preserve">Rate your </t>
    </r>
    <r>
      <rPr>
        <rFont val="Nunito"/>
        <b/>
        <color rgb="FF000000"/>
        <sz val="11.0"/>
      </rPr>
      <t xml:space="preserve">sleep quality </t>
    </r>
    <r>
      <rPr>
        <rFont val="Nunito"/>
        <color rgb="FF000000"/>
        <sz val="11.0"/>
      </rPr>
      <t>on a scale of 1-10 and list any relevant details.</t>
    </r>
  </si>
  <si>
    <t>DAILY BW MEASUREMENT</t>
  </si>
  <si>
    <t>WEEKLY AVERAGE</t>
  </si>
  <si>
    <t>MAHON 
PERFORMANCE</t>
  </si>
  <si>
    <t>WAIST</t>
  </si>
  <si>
    <t>HIPS</t>
  </si>
  <si>
    <t>ARM</t>
  </si>
  <si>
    <t>THIGH</t>
  </si>
  <si>
    <t xml:space="preserve">  MAHON 
  PERFORMANCE</t>
  </si>
  <si>
    <t>WEEK ON PROGRAMME</t>
  </si>
  <si>
    <t>DAY 1</t>
  </si>
  <si>
    <t>ORDER</t>
  </si>
  <si>
    <t>EXERCISE</t>
  </si>
  <si>
    <t>SETS</t>
  </si>
  <si>
    <t>REPS</t>
  </si>
  <si>
    <t>TEMPO</t>
  </si>
  <si>
    <t>INTENSITY</t>
  </si>
  <si>
    <t xml:space="preserve">NOTES </t>
  </si>
  <si>
    <t>VIDEO LINK</t>
  </si>
  <si>
    <t xml:space="preserve">Seated Hamstring Curl </t>
  </si>
  <si>
    <t>Hack Squat</t>
  </si>
  <si>
    <t>RDL</t>
  </si>
  <si>
    <t>5-8   8-12</t>
  </si>
  <si>
    <t xml:space="preserve">FFE Split Squat </t>
  </si>
  <si>
    <t>Leg Press</t>
  </si>
  <si>
    <t>Glute Kickback</t>
  </si>
  <si>
    <t>DAY 2</t>
  </si>
  <si>
    <t xml:space="preserve">Lat Pulldown </t>
  </si>
  <si>
    <t>Hammer Strength Shoulder Press</t>
  </si>
  <si>
    <t xml:space="preserve">Dumbbell Lateral raise </t>
  </si>
  <si>
    <t>Dumbbell Bench Press</t>
  </si>
  <si>
    <t xml:space="preserve">Cable Row </t>
  </si>
  <si>
    <t>Cable Curl</t>
  </si>
  <si>
    <t>Cable Pushdown</t>
  </si>
  <si>
    <t>DAY 3</t>
  </si>
  <si>
    <t xml:space="preserve">Barbell Squat </t>
  </si>
  <si>
    <t>Hip Thrust</t>
  </si>
  <si>
    <t>Dumbell RDL</t>
  </si>
  <si>
    <t xml:space="preserve">Walking Lunges </t>
  </si>
  <si>
    <t>Paused Leg Press</t>
  </si>
  <si>
    <t>5-8   8-12   10-15</t>
  </si>
  <si>
    <t>DAY 4</t>
  </si>
  <si>
    <t>Lying Hamstring Curl</t>
  </si>
  <si>
    <t>Trap Bar Deadlift</t>
  </si>
  <si>
    <t xml:space="preserve">Split Squat </t>
  </si>
  <si>
    <t>Dumbbell Step Up To Bench</t>
  </si>
  <si>
    <t>DAY 5</t>
  </si>
  <si>
    <t>TRAINING DAY</t>
  </si>
  <si>
    <t xml:space="preserve">NON-TRAINING DAY </t>
  </si>
  <si>
    <t>MEAL NO.</t>
  </si>
  <si>
    <t>FOOD</t>
  </si>
  <si>
    <t>PORTION</t>
  </si>
  <si>
    <t>NO. OF PORTIONS</t>
  </si>
  <si>
    <t>M1</t>
  </si>
  <si>
    <t>Oats</t>
  </si>
  <si>
    <t>Plain Bagel</t>
  </si>
  <si>
    <t>Blueberries</t>
  </si>
  <si>
    <t>Eggs Whole</t>
  </si>
  <si>
    <t>Honey</t>
  </si>
  <si>
    <t>Turkey Rasher</t>
  </si>
  <si>
    <t>Whey Protein</t>
  </si>
  <si>
    <t>MEAL TOTAL</t>
  </si>
  <si>
    <t>M2</t>
  </si>
  <si>
    <t>Chicken Breast (Raw)</t>
  </si>
  <si>
    <t>Country Mix Vegetables</t>
  </si>
  <si>
    <t>Apple</t>
  </si>
  <si>
    <t>White Potato</t>
  </si>
  <si>
    <t>M3</t>
  </si>
  <si>
    <t>Salmon (Raw)</t>
  </si>
  <si>
    <t>Jasmine Rice</t>
  </si>
  <si>
    <t>M4</t>
  </si>
  <si>
    <t>Protein Bar</t>
  </si>
  <si>
    <t>Banana</t>
  </si>
  <si>
    <t>M5</t>
  </si>
  <si>
    <t>INTRA</t>
  </si>
  <si>
    <t>OTHER</t>
  </si>
  <si>
    <t>DAY TOTAL</t>
  </si>
  <si>
    <t>MON</t>
  </si>
  <si>
    <t>TUES</t>
  </si>
  <si>
    <t>WED</t>
  </si>
  <si>
    <t>THURS</t>
  </si>
  <si>
    <t>FRI</t>
  </si>
  <si>
    <t>SAT</t>
  </si>
  <si>
    <t>SUN</t>
  </si>
  <si>
    <t>MONDAY</t>
  </si>
  <si>
    <t>TUESDAY</t>
  </si>
  <si>
    <t>WEDNESDAY</t>
  </si>
  <si>
    <t>THURSDAY</t>
  </si>
  <si>
    <t>FRIDAY</t>
  </si>
  <si>
    <t>SATURDAY</t>
  </si>
  <si>
    <t>SUNDAY</t>
  </si>
  <si>
    <t>Greek Yoghurt (0%)</t>
  </si>
  <si>
    <t>Raspberries</t>
  </si>
  <si>
    <t>White Sourdough Bread</t>
  </si>
  <si>
    <t>Avocado</t>
  </si>
  <si>
    <t>Lean Beef Mince (Raw)</t>
  </si>
  <si>
    <t>Cheese</t>
  </si>
  <si>
    <t>Fillet Steak (Raw)</t>
  </si>
  <si>
    <t xml:space="preserve"> MAHON PERFORMANCE</t>
  </si>
  <si>
    <t>NO.</t>
  </si>
  <si>
    <t xml:space="preserve">FOOD </t>
  </si>
  <si>
    <r>
      <rPr>
        <rFont val="Nunito"/>
        <b/>
        <color theme="1"/>
        <sz val="10.0"/>
      </rPr>
      <t xml:space="preserve">CALORIES </t>
    </r>
    <r>
      <rPr>
        <rFont val="Nunito"/>
        <b val="0"/>
        <color theme="1"/>
        <sz val="10.0"/>
      </rPr>
      <t>(kcal)</t>
    </r>
  </si>
  <si>
    <r>
      <rPr>
        <rFont val="Nunito"/>
        <b/>
        <color theme="1"/>
        <sz val="10.0"/>
      </rPr>
      <t xml:space="preserve">PROTEIN </t>
    </r>
    <r>
      <rPr>
        <rFont val="Nunito"/>
        <b val="0"/>
        <color theme="1"/>
        <sz val="10.0"/>
      </rPr>
      <t>(g)</t>
    </r>
  </si>
  <si>
    <r>
      <rPr>
        <rFont val="Nunito"/>
        <b/>
        <color theme="1"/>
        <sz val="10.0"/>
      </rPr>
      <t xml:space="preserve">CARBOHYDRATES </t>
    </r>
    <r>
      <rPr>
        <rFont val="Nunito"/>
        <b val="0"/>
        <color theme="1"/>
        <sz val="10.0"/>
      </rPr>
      <t>(g)</t>
    </r>
  </si>
  <si>
    <r>
      <rPr>
        <rFont val="Nunito"/>
        <b/>
        <color theme="1"/>
        <sz val="10.0"/>
      </rPr>
      <t xml:space="preserve">FATS </t>
    </r>
    <r>
      <rPr>
        <rFont val="Nunito"/>
        <b val="0"/>
        <color theme="1"/>
        <sz val="10.0"/>
      </rPr>
      <t>(g)</t>
    </r>
  </si>
  <si>
    <t>COOKED/RAW/DRY</t>
  </si>
  <si>
    <t>Chicken Breast (Cooked)</t>
  </si>
  <si>
    <t>100g</t>
  </si>
  <si>
    <t>Cooked Weight</t>
  </si>
  <si>
    <t>Raw Weight</t>
  </si>
  <si>
    <t>Lean Beef Mince (Cooked)</t>
  </si>
  <si>
    <t>Salmon (Cooked)</t>
  </si>
  <si>
    <t>Fillet Steak (Cooked)</t>
  </si>
  <si>
    <t>Cod (Cooked)</t>
  </si>
  <si>
    <t>Cod (Raw)</t>
  </si>
  <si>
    <t>Haddock (Cooked)</t>
  </si>
  <si>
    <t>Haddock (Raw)</t>
  </si>
  <si>
    <t>Prawns (Cooked)</t>
  </si>
  <si>
    <t>Prawns (Raw)</t>
  </si>
  <si>
    <t>Tuna</t>
  </si>
  <si>
    <t>Drained Weight</t>
  </si>
  <si>
    <t>1 egg</t>
  </si>
  <si>
    <t>Egg Whites</t>
  </si>
  <si>
    <t>Greek Yoghurt (Whole)</t>
  </si>
  <si>
    <t>Soy Yoghurt</t>
  </si>
  <si>
    <t>Vegan Protein</t>
  </si>
  <si>
    <t>Soy Protein</t>
  </si>
  <si>
    <t>Casein Protein</t>
  </si>
  <si>
    <t>Lentils</t>
  </si>
  <si>
    <t>Chickpeas</t>
  </si>
  <si>
    <t>Mixed Beans</t>
  </si>
  <si>
    <t>Cannellini Beans</t>
  </si>
  <si>
    <t>Butter Beans</t>
  </si>
  <si>
    <t>Kidney Beans</t>
  </si>
  <si>
    <t>Tofu</t>
  </si>
  <si>
    <t>1 rasher</t>
  </si>
  <si>
    <t>Turkey Breast (Cooked)</t>
  </si>
  <si>
    <t>Turkey Breast (Raw)</t>
  </si>
  <si>
    <t>Vanilla Protein Milk</t>
  </si>
  <si>
    <t>100mL</t>
  </si>
  <si>
    <t>Chocolate Protein Milk</t>
  </si>
  <si>
    <t>Gold Protein Milk</t>
  </si>
  <si>
    <t>Blueberry Protein MIlk</t>
  </si>
  <si>
    <t>Protein Milk</t>
  </si>
  <si>
    <t>Slimline Milk</t>
  </si>
  <si>
    <t>Low Fat Milk</t>
  </si>
  <si>
    <t>Whole Milk</t>
  </si>
  <si>
    <t>Oat Milk</t>
  </si>
  <si>
    <t>Oat Milk (Unsweetened)</t>
  </si>
  <si>
    <t>Soya Milk</t>
  </si>
  <si>
    <t>Soya Milk (Sweetened)</t>
  </si>
  <si>
    <t>Almond Milk</t>
  </si>
  <si>
    <t>Almond Milk (Unsweetened)</t>
  </si>
  <si>
    <t>Cashew Milk</t>
  </si>
  <si>
    <t>Hazelnut Milk</t>
  </si>
  <si>
    <t>Dry Weight</t>
  </si>
  <si>
    <t>Brown RIice</t>
  </si>
  <si>
    <t>Pasta</t>
  </si>
  <si>
    <t>Wholemeal Pasta</t>
  </si>
  <si>
    <t>Sweet Potato</t>
  </si>
  <si>
    <t>1 bagel</t>
  </si>
  <si>
    <t>As Prepared Weight</t>
  </si>
  <si>
    <t>English Muffin</t>
  </si>
  <si>
    <t>1 muffin</t>
  </si>
  <si>
    <t>Crumpets</t>
  </si>
  <si>
    <t>1 crumpet</t>
  </si>
  <si>
    <t>Date Syrup</t>
  </si>
  <si>
    <t>Cream of Rice</t>
  </si>
  <si>
    <t>Baby Rice</t>
  </si>
  <si>
    <t>Coco Pops</t>
  </si>
  <si>
    <t>Rice Krispies</t>
  </si>
  <si>
    <t>Weetabix</t>
  </si>
  <si>
    <t>1 weetabix</t>
  </si>
  <si>
    <t>Rice Cakes</t>
  </si>
  <si>
    <t>1 rice cake</t>
  </si>
  <si>
    <t>Corn Cakes</t>
  </si>
  <si>
    <t>1 corn cake</t>
  </si>
  <si>
    <t>Rice Krispies Squares</t>
  </si>
  <si>
    <t>1 bar</t>
  </si>
  <si>
    <t>Jam</t>
  </si>
  <si>
    <t>Maple Syrup</t>
  </si>
  <si>
    <t>Scotch Pancakes</t>
  </si>
  <si>
    <t>Brown Soda Bread</t>
  </si>
  <si>
    <t>Tortilla Wrap</t>
  </si>
  <si>
    <t>Egg Noodles</t>
  </si>
  <si>
    <t>Brioche Buns</t>
  </si>
  <si>
    <t>Dark Chocolate (85%)</t>
  </si>
  <si>
    <t>Dark Chocolate (70%)</t>
  </si>
  <si>
    <t>Almond Butter</t>
  </si>
  <si>
    <t>Peanut Butter</t>
  </si>
  <si>
    <t>Olive Oil</t>
  </si>
  <si>
    <t>Coconut Oil</t>
  </si>
  <si>
    <t>Macadamia Nut Oil</t>
  </si>
  <si>
    <t>Peanuts</t>
  </si>
  <si>
    <t>Deshelled Weight</t>
  </si>
  <si>
    <t>Pecan</t>
  </si>
  <si>
    <t>Pistachio</t>
  </si>
  <si>
    <t>Walnuts</t>
  </si>
  <si>
    <t>Almonds</t>
  </si>
  <si>
    <t>Granola</t>
  </si>
  <si>
    <t>Cashews</t>
  </si>
  <si>
    <t>Organic Butter</t>
  </si>
  <si>
    <t>Frozen Mixed Berries</t>
  </si>
  <si>
    <t>Pineapple</t>
  </si>
  <si>
    <t>Kiwi</t>
  </si>
  <si>
    <t>Passion Fruit</t>
  </si>
  <si>
    <t>Grapes</t>
  </si>
  <si>
    <t>Dates</t>
  </si>
  <si>
    <t>Orange</t>
  </si>
  <si>
    <t>Pear</t>
  </si>
  <si>
    <t>Peppers</t>
  </si>
  <si>
    <t>Broccoli</t>
  </si>
  <si>
    <t>Tender Stem Broccoli</t>
  </si>
  <si>
    <t>Cauliflower</t>
  </si>
  <si>
    <t>Green Beans</t>
  </si>
  <si>
    <t>Asparagus</t>
  </si>
  <si>
    <t>Brussel Sprouts</t>
  </si>
  <si>
    <t>Carrots</t>
  </si>
  <si>
    <t>Peas</t>
  </si>
  <si>
    <t>Courgette</t>
  </si>
  <si>
    <t>Onion</t>
  </si>
  <si>
    <t>Tomato</t>
  </si>
  <si>
    <t>Tomato Passata</t>
  </si>
  <si>
    <t>Butternut Squash</t>
  </si>
  <si>
    <t>Parsnips</t>
  </si>
  <si>
    <t>Beetroot</t>
  </si>
  <si>
    <t>Soaked Weight</t>
  </si>
  <si>
    <t>Mushrooms</t>
  </si>
  <si>
    <t>Stir Fry Mix</t>
  </si>
  <si>
    <t>Bean Sprouts</t>
  </si>
  <si>
    <t>Creatine Monohydrate</t>
  </si>
  <si>
    <t>Highly Branched Cyclic Dextrin</t>
  </si>
  <si>
    <t>Essential Amino Acids</t>
  </si>
  <si>
    <t>Sliced Bread</t>
  </si>
  <si>
    <t xml:space="preserve">1 Slice </t>
  </si>
  <si>
    <t>1 Bar</t>
  </si>
  <si>
    <t xml:space="preserve">NO. </t>
  </si>
  <si>
    <t>EXERCISE NOTES</t>
  </si>
  <si>
    <t>Edit text with exercie execution notes or exercise set up notes</t>
  </si>
  <si>
    <t>https://www.instagram.com/shane_mahon/</t>
  </si>
  <si>
    <t>Barbell Bench Press</t>
  </si>
  <si>
    <t>Incline Barbell Bench Press</t>
  </si>
  <si>
    <t>Incline Dumbbell Bench Press</t>
  </si>
  <si>
    <t>Cable Flies</t>
  </si>
  <si>
    <t>Dumbbell Flies</t>
  </si>
  <si>
    <t xml:space="preserve">Stiff Legged Deadlift </t>
  </si>
  <si>
    <t xml:space="preserve">Hammer Strength Chest Press </t>
  </si>
  <si>
    <t xml:space="preserve">Adductor Machine </t>
  </si>
  <si>
    <t xml:space="preserve">Abductor Machine </t>
  </si>
  <si>
    <t xml:space="preserve">D-Handle Pulldown </t>
  </si>
  <si>
    <t>Rack Pull</t>
  </si>
  <si>
    <t>Prowler</t>
  </si>
  <si>
    <t xml:space="preserve">Rope Cable Pushdown </t>
  </si>
  <si>
    <t>Over-Head Tricep Extension</t>
  </si>
  <si>
    <t>Single Arm Cable Curl</t>
  </si>
  <si>
    <t>Neutral Grip Pulldown</t>
  </si>
  <si>
    <t xml:space="preserve">Cable Lateral Raise </t>
  </si>
  <si>
    <t xml:space="preserve">Dumbbell Chest Supported Row </t>
  </si>
  <si>
    <t>Single Arm Dumbbell Row</t>
  </si>
  <si>
    <t>Shrugs</t>
  </si>
  <si>
    <t xml:space="preserve">Barbell Row </t>
  </si>
  <si>
    <t xml:space="preserve">Cable Pulldown </t>
  </si>
  <si>
    <t>EZ Bar Skull Crusher</t>
  </si>
  <si>
    <t>Dumbbell Skull Crusher</t>
  </si>
  <si>
    <t>Dumbbell Over-head Extension</t>
  </si>
  <si>
    <t>Dumbbell Shoulder Press</t>
  </si>
  <si>
    <t>Leg Extension</t>
  </si>
  <si>
    <t>Standing Hamstring Curl</t>
  </si>
  <si>
    <t xml:space="preserve">Hammer Curls </t>
  </si>
  <si>
    <t>EZ Bar Curls</t>
  </si>
  <si>
    <t xml:space="preserve">Dumbbell Curls </t>
  </si>
  <si>
    <t>Smith Machine Squat</t>
  </si>
  <si>
    <t>Dumbbell Floor Press</t>
  </si>
  <si>
    <t xml:space="preserve">Single Arm Cable Lateral Raise </t>
  </si>
  <si>
    <t>Seal Row (Rear Delt Focused)</t>
  </si>
  <si>
    <t>Hip Adduction</t>
  </si>
  <si>
    <t>Hip Abduction</t>
  </si>
  <si>
    <t>Hip Extension</t>
  </si>
  <si>
    <t>Bulgarian Split Squat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</si>
</sst>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"/>
    <numFmt numFmtId="165" formatCode="d&quot; &quot;mmmm&quot; &quot;yyyy"/>
    <numFmt numFmtId="166" formatCode="ddd&quot; &quot;d&quot;/&quot;m&quot;/&quot;yy"/>
    <numFmt numFmtId="167" formatCode="m-d"/>
  </numFmts>
  <fonts count="47">
    <font>
      <sz val="10.0"/>
      <color rgb="FF000000"/>
      <name val="Arial"/>
      <scheme val="minor"/>
    </font>
    <font>
      <sz val="7.0"/>
      <color theme="1"/>
      <name val="Nunito"/>
    </font>
    <font>
      <color theme="1"/>
      <name val="Nunito"/>
    </font>
    <font>
      <sz val="32.0"/>
      <color theme="1"/>
      <name val="Impact"/>
    </font>
    <font/>
    <font>
      <b/>
      <color theme="1"/>
      <name val="Nunito"/>
    </font>
    <font>
      <b/>
      <color rgb="FF050A0E"/>
      <name val="Nunito"/>
    </font>
    <font>
      <b/>
      <color theme="0"/>
      <name val="Nunito"/>
    </font>
    <font>
      <b/>
      <sz val="10.0"/>
      <color theme="1"/>
      <name val="Nunito"/>
    </font>
    <font>
      <sz val="36.0"/>
      <color theme="1"/>
      <name val="Impact"/>
    </font>
    <font>
      <sz val="10.0"/>
      <color theme="1"/>
      <name val="Nunito"/>
    </font>
    <font>
      <color theme="1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sz val="9.0"/>
      <color theme="1"/>
      <name val="Nunito"/>
    </font>
    <font>
      <sz val="9.0"/>
      <color theme="1"/>
      <name val="Nunito"/>
    </font>
    <font>
      <b/>
      <u/>
      <color theme="1"/>
      <name val="Nunito"/>
    </font>
    <font>
      <b/>
      <u/>
      <sz val="9.0"/>
      <color theme="1"/>
      <name val="Nunito"/>
    </font>
    <font>
      <b/>
      <u/>
      <color theme="1"/>
      <name val="Nunito"/>
    </font>
    <font>
      <color rgb="FF000000"/>
      <name val="Nunito"/>
    </font>
    <font>
      <sz val="46.0"/>
      <color rgb="FF000000"/>
      <name val="Impact"/>
    </font>
    <font>
      <color rgb="FFFFFFFF"/>
      <name val="Nunito"/>
    </font>
    <font>
      <u/>
      <color rgb="FFFFFFFF"/>
      <name val="Nunito"/>
    </font>
    <font>
      <b/>
      <color rgb="FF000000"/>
      <name val="Nunito"/>
    </font>
    <font>
      <b/>
      <u/>
      <color theme="1"/>
      <name val="Nunito"/>
    </font>
    <font>
      <b/>
      <color rgb="FFFFFFFF"/>
      <name val="Nunito"/>
    </font>
    <font>
      <b/>
      <sz val="9.0"/>
      <color rgb="FFFFFFFF"/>
      <name val="Nunito"/>
    </font>
    <font>
      <b/>
      <sz val="30.0"/>
      <color theme="1"/>
      <name val="Nunito"/>
    </font>
    <font>
      <b/>
      <sz val="9.0"/>
      <color rgb="FF000000"/>
      <name val="Nunito"/>
    </font>
    <font>
      <sz val="9.0"/>
      <color rgb="FF000000"/>
      <name val="Nunito"/>
    </font>
    <font>
      <sz val="9.0"/>
      <color rgb="FFFFFFFF"/>
      <name val="Nunito"/>
    </font>
    <font>
      <u/>
      <sz val="9.0"/>
      <color rgb="FFFFFFFF"/>
      <name val="Nunito"/>
    </font>
    <font>
      <sz val="11.0"/>
      <color rgb="FF000000"/>
      <name val="Lobster"/>
    </font>
    <font>
      <sz val="40.0"/>
      <color rgb="FF000000"/>
      <name val="Impact"/>
    </font>
    <font>
      <b/>
      <u/>
      <color theme="1"/>
      <name val="Nunito"/>
    </font>
    <font>
      <sz val="11.0"/>
      <color rgb="FF000000"/>
      <name val="Nunito"/>
    </font>
    <font>
      <color rgb="FF000000"/>
      <name val="Roboto"/>
    </font>
    <font>
      <color rgb="FF000000"/>
      <name val="Arial"/>
    </font>
    <font>
      <sz val="40.0"/>
      <color theme="1"/>
      <name val="Impact"/>
    </font>
    <font>
      <sz val="18.0"/>
      <color rgb="FF000000"/>
      <name val="Nunito"/>
    </font>
    <font>
      <sz val="36.0"/>
      <color rgb="FF000000"/>
      <name val="Impact"/>
    </font>
    <font>
      <b/>
      <sz val="12.0"/>
      <color theme="1"/>
      <name val="Nunito"/>
    </font>
    <font>
      <b/>
      <sz val="10.0"/>
      <color rgb="FF000000"/>
      <name val="Nunito"/>
    </font>
    <font>
      <sz val="10.0"/>
      <color rgb="FF000000"/>
      <name val="Nunito"/>
    </font>
    <font>
      <u/>
      <sz val="10.0"/>
      <color rgb="FF000000"/>
      <name val="Nunito"/>
    </font>
    <font>
      <u/>
      <sz val="10.0"/>
      <color rgb="FF000000"/>
      <name val="Nunito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9CFF0"/>
        <bgColor rgb="FF89CFF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6F6F6"/>
        <bgColor rgb="FFF6F6F6"/>
      </patternFill>
    </fill>
    <fill>
      <patternFill patternType="solid">
        <fgColor rgb="FFD9D9D9"/>
        <bgColor rgb="FFD9D9D9"/>
      </patternFill>
    </fill>
  </fills>
  <borders count="7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medium">
        <color rgb="FF000000"/>
      </right>
      <top style="medium">
        <color rgb="FF000000"/>
      </top>
      <bottom style="dotted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medium">
        <color rgb="FF000000"/>
      </right>
      <top style="dotted">
        <color rgb="FF000000"/>
      </top>
      <bottom style="dotted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dotted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top style="dotted">
        <color rgb="FF000000"/>
      </top>
      <bottom style="medium">
        <color rgb="FF000000"/>
      </bottom>
    </border>
    <border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dotted">
        <color rgb="FF050A0E"/>
      </bottom>
    </border>
    <border>
      <right style="medium">
        <color rgb="FF050A0E"/>
      </right>
      <top style="medium">
        <color rgb="FF000000"/>
      </top>
      <bottom style="dotted">
        <color rgb="FF050A0E"/>
      </bottom>
    </border>
    <border>
      <left style="medium">
        <color rgb="FF050A0E"/>
      </left>
      <right style="medium">
        <color rgb="FF050A0E"/>
      </right>
      <bottom style="dotted">
        <color rgb="FF050A0E"/>
      </bottom>
    </border>
    <border>
      <left style="medium">
        <color rgb="FF050A0E"/>
      </left>
      <right style="medium">
        <color rgb="FF050A0E"/>
      </right>
      <top style="medium">
        <color rgb="FF000000"/>
      </top>
      <bottom style="dotted">
        <color rgb="FF050A0E"/>
      </bottom>
    </border>
    <border>
      <left style="medium">
        <color rgb="FF050A0E"/>
      </left>
      <right style="medium">
        <color rgb="FF000000"/>
      </right>
      <top style="medium">
        <color rgb="FF000000"/>
      </top>
      <bottom style="dotted">
        <color rgb="FF050A0E"/>
      </bottom>
    </border>
    <border>
      <top style="dotted">
        <color rgb="FF050A0E"/>
      </top>
      <bottom style="dotted">
        <color rgb="FF050A0E"/>
      </bottom>
    </border>
    <border>
      <right style="medium">
        <color rgb="FF050A0E"/>
      </right>
      <top style="dotted">
        <color rgb="FF050A0E"/>
      </top>
      <bottom style="dotted">
        <color rgb="FF050A0E"/>
      </bottom>
    </border>
    <border>
      <left style="medium">
        <color rgb="FF050A0E"/>
      </left>
      <right style="medium">
        <color rgb="FF050A0E"/>
      </right>
      <top style="dotted">
        <color rgb="FF050A0E"/>
      </top>
      <bottom style="dotted">
        <color rgb="FF050A0E"/>
      </bottom>
    </border>
    <border>
      <left style="medium">
        <color rgb="FF050A0E"/>
      </left>
      <right style="medium">
        <color rgb="FF000000"/>
      </right>
      <top style="dotted">
        <color rgb="FF050A0E"/>
      </top>
      <bottom style="dotted">
        <color rgb="FF050A0E"/>
      </bottom>
    </border>
    <border>
      <left style="medium">
        <color rgb="FF000000"/>
      </left>
      <right style="medium">
        <color rgb="FF000000"/>
      </right>
      <top style="dotted">
        <color rgb="FF000000"/>
      </top>
    </border>
    <border>
      <top style="dotted">
        <color rgb="FF050A0E"/>
      </top>
    </border>
    <border>
      <right style="medium">
        <color rgb="FF050A0E"/>
      </right>
      <top style="dotted">
        <color rgb="FF050A0E"/>
      </top>
    </border>
    <border>
      <left style="medium">
        <color rgb="FF050A0E"/>
      </left>
      <right style="medium">
        <color rgb="FF050A0E"/>
      </right>
      <top style="dotted">
        <color rgb="FF050A0E"/>
      </top>
    </border>
    <border>
      <left style="medium">
        <color rgb="FF050A0E"/>
      </left>
      <right style="medium">
        <color rgb="FF000000"/>
      </right>
      <top style="dotted">
        <color rgb="FF050A0E"/>
      </top>
    </border>
    <border>
      <top style="dotted">
        <color rgb="FF050A0E"/>
      </top>
      <bottom style="medium">
        <color rgb="FF000000"/>
      </bottom>
    </border>
    <border>
      <right style="medium">
        <color rgb="FF050A0E"/>
      </right>
      <top style="dotted">
        <color rgb="FF050A0E"/>
      </top>
      <bottom style="medium">
        <color rgb="FF000000"/>
      </bottom>
    </border>
    <border>
      <left style="medium">
        <color rgb="FF050A0E"/>
      </left>
      <right style="medium">
        <color rgb="FF050A0E"/>
      </right>
      <top style="dotted">
        <color rgb="FF050A0E"/>
      </top>
      <bottom style="medium">
        <color rgb="FF000000"/>
      </bottom>
    </border>
    <border>
      <left style="medium">
        <color rgb="FF050A0E"/>
      </left>
      <right style="medium">
        <color rgb="FF000000"/>
      </right>
      <top style="dotted">
        <color rgb="FF050A0E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5" fillId="0" fontId="4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ill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7" fillId="2" fontId="2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7" fillId="3" fontId="6" numFmtId="0" xfId="0" applyAlignment="1" applyBorder="1" applyFont="1">
      <alignment horizontal="left" readingOrder="0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3" fillId="4" fontId="5" numFmtId="164" xfId="0" applyAlignment="1" applyBorder="1" applyFill="1" applyFont="1" applyNumberFormat="1">
      <alignment horizontal="center" readingOrder="0" shrinkToFit="0" vertical="center" wrapText="1"/>
    </xf>
    <xf borderId="13" fillId="2" fontId="7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4" fontId="8" numFmtId="164" xfId="0" applyAlignment="1" applyBorder="1" applyFont="1" applyNumberFormat="1">
      <alignment horizontal="center" readingOrder="0" shrinkToFit="0" vertical="center" wrapText="1"/>
    </xf>
    <xf borderId="19" fillId="2" fontId="8" numFmtId="0" xfId="0" applyAlignment="1" applyBorder="1" applyFont="1">
      <alignment horizontal="center" readingOrder="0" shrinkToFit="0" vertical="center" wrapText="1"/>
    </xf>
    <xf borderId="20" fillId="0" fontId="4" numFmtId="0" xfId="0" applyBorder="1" applyFont="1"/>
    <xf borderId="21" fillId="0" fontId="4" numFmtId="0" xfId="0" applyBorder="1" applyFont="1"/>
    <xf borderId="6" fillId="2" fontId="9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shrinkToFit="0" vertical="center" wrapText="1"/>
    </xf>
    <xf borderId="22" fillId="2" fontId="2" numFmtId="0" xfId="0" applyAlignment="1" applyBorder="1" applyFont="1">
      <alignment horizontal="center" shrinkToFit="0" vertical="center" wrapText="1"/>
    </xf>
    <xf borderId="19" fillId="2" fontId="10" numFmtId="0" xfId="0" applyAlignment="1" applyBorder="1" applyFont="1">
      <alignment horizontal="center" readingOrder="0" shrinkToFit="0" vertical="center" wrapText="1"/>
    </xf>
    <xf borderId="16" fillId="2" fontId="9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3" fillId="2" fontId="5" numFmtId="0" xfId="0" applyAlignment="1" applyBorder="1" applyFont="1">
      <alignment horizontal="center" readingOrder="0" shrinkToFit="0" vertical="center" wrapText="1"/>
    </xf>
    <xf borderId="23" fillId="2" fontId="2" numFmtId="0" xfId="0" applyAlignment="1" applyBorder="1" applyFont="1">
      <alignment horizontal="center" readingOrder="0" shrinkToFit="0" vertical="center" wrapText="1"/>
    </xf>
    <xf borderId="24" fillId="4" fontId="5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6" fillId="5" fontId="5" numFmtId="0" xfId="0" applyAlignment="1" applyBorder="1" applyFill="1" applyFont="1">
      <alignment horizontal="center" readingOrder="0" shrinkToFit="0" vertical="center" wrapText="1"/>
    </xf>
    <xf borderId="7" fillId="2" fontId="2" numFmtId="165" xfId="0" applyAlignment="1" applyBorder="1" applyFont="1" applyNumberFormat="1">
      <alignment horizontal="center" readingOrder="0" shrinkToFit="0" vertical="center" wrapText="1"/>
    </xf>
    <xf borderId="27" fillId="4" fontId="5" numFmtId="0" xfId="0" applyAlignment="1" applyBorder="1" applyFont="1">
      <alignment horizontal="center" shrinkToFit="0" vertical="center" wrapText="1"/>
    </xf>
    <xf borderId="28" fillId="0" fontId="4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9" fillId="4" fontId="11" numFmtId="164" xfId="0" applyAlignment="1" applyBorder="1" applyFont="1" applyNumberFormat="1">
      <alignment horizontal="center" shrinkToFit="0" vertical="center" wrapText="1"/>
    </xf>
    <xf borderId="19" fillId="2" fontId="11" numFmtId="0" xfId="0" applyAlignment="1" applyBorder="1" applyFont="1">
      <alignment horizontal="center" shrinkToFit="0" vertical="center" wrapText="1"/>
    </xf>
    <xf borderId="12" fillId="2" fontId="11" numFmtId="0" xfId="0" applyAlignment="1" applyBorder="1" applyFont="1">
      <alignment horizontal="center" shrinkToFit="0" vertical="center" wrapText="1"/>
    </xf>
    <xf borderId="19" fillId="4" fontId="5" numFmtId="0" xfId="0" applyAlignment="1" applyBorder="1" applyFont="1">
      <alignment horizontal="center" shrinkToFit="0" vertical="center" wrapText="1"/>
    </xf>
    <xf borderId="19" fillId="4" fontId="5" numFmtId="164" xfId="0" applyAlignment="1" applyBorder="1" applyFont="1" applyNumberFormat="1">
      <alignment horizontal="center" readingOrder="0" shrinkToFit="0" vertical="center" wrapText="1"/>
    </xf>
    <xf borderId="19" fillId="2" fontId="7" numFmtId="0" xfId="0" applyAlignment="1" applyBorder="1" applyFont="1">
      <alignment horizontal="center" readingOrder="0" shrinkToFit="0" vertical="center" wrapText="1"/>
    </xf>
    <xf borderId="12" fillId="2" fontId="12" numFmtId="0" xfId="0" applyAlignment="1" applyBorder="1" applyFont="1">
      <alignment horizontal="left" readingOrder="0" shrinkToFit="0" vertical="center" wrapText="1"/>
    </xf>
    <xf borderId="1" fillId="2" fontId="12" numFmtId="0" xfId="0" applyAlignment="1" applyBorder="1" applyFont="1">
      <alignment horizontal="left" readingOrder="0" shrinkToFit="0" vertical="center" wrapText="1"/>
    </xf>
    <xf borderId="29" fillId="4" fontId="5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29" fillId="2" fontId="8" numFmtId="0" xfId="0" applyAlignment="1" applyBorder="1" applyFont="1">
      <alignment horizontal="center" readingOrder="0" shrinkToFit="0" vertical="center" wrapText="1"/>
    </xf>
    <xf borderId="29" fillId="2" fontId="10" numFmtId="0" xfId="0" applyAlignment="1" applyBorder="1" applyFont="1">
      <alignment horizontal="center" readingOrder="0" shrinkToFit="0" vertical="center" wrapText="1"/>
    </xf>
    <xf borderId="19" fillId="2" fontId="5" numFmtId="0" xfId="0" applyAlignment="1" applyBorder="1" applyFont="1">
      <alignment horizontal="center" readingOrder="0" shrinkToFit="0" vertical="center" wrapText="1"/>
    </xf>
    <xf borderId="12" fillId="2" fontId="13" numFmtId="0" xfId="0" applyAlignment="1" applyBorder="1" applyFont="1">
      <alignment horizontal="left" readingOrder="0" shrinkToFit="0" vertical="center" wrapText="1"/>
    </xf>
    <xf borderId="1" fillId="2" fontId="13" numFmtId="0" xfId="0" applyAlignment="1" applyBorder="1" applyFont="1">
      <alignment horizontal="left" readingOrder="0" shrinkToFit="0" vertical="center" wrapText="1"/>
    </xf>
    <xf borderId="7" fillId="2" fontId="2" numFmtId="165" xfId="0" applyAlignment="1" applyBorder="1" applyFont="1" applyNumberFormat="1">
      <alignment horizontal="center" readingOrder="0" shrinkToFit="0" vertical="center" wrapText="1"/>
    </xf>
    <xf borderId="7" fillId="4" fontId="8" numFmtId="0" xfId="0" applyAlignment="1" applyBorder="1" applyFont="1">
      <alignment horizontal="center" readingOrder="0" shrinkToFit="0" vertical="center" wrapText="1"/>
    </xf>
    <xf borderId="7" fillId="2" fontId="8" numFmtId="0" xfId="0" applyAlignment="1" applyBorder="1" applyFont="1">
      <alignment horizontal="center" readingOrder="0" shrinkToFit="0" vertical="center" wrapText="1"/>
    </xf>
    <xf borderId="19" fillId="2" fontId="10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7" fillId="2" fontId="8" numFmtId="3" xfId="0" applyAlignment="1" applyBorder="1" applyFont="1" applyNumberFormat="1">
      <alignment horizontal="center" readingOrder="0" shrinkToFit="0" vertical="center" wrapText="1"/>
    </xf>
    <xf borderId="23" fillId="2" fontId="2" numFmtId="0" xfId="0" applyAlignment="1" applyBorder="1" applyFont="1">
      <alignment horizontal="center" shrinkToFit="0" vertical="center" wrapText="1"/>
    </xf>
    <xf borderId="7" fillId="3" fontId="5" numFmtId="0" xfId="0" applyAlignment="1" applyBorder="1" applyFont="1">
      <alignment horizontal="left" readingOrder="0" shrinkToFit="0" vertical="center" wrapText="1"/>
    </xf>
    <xf borderId="22" fillId="2" fontId="15" numFmtId="0" xfId="0" applyAlignment="1" applyBorder="1" applyFont="1">
      <alignment horizontal="center" readingOrder="0" shrinkToFit="0" vertical="center" wrapText="1"/>
    </xf>
    <xf borderId="19" fillId="2" fontId="2" numFmtId="0" xfId="0" applyAlignment="1" applyBorder="1" applyFont="1">
      <alignment horizontal="center" shrinkToFit="0" vertical="center" wrapText="1"/>
    </xf>
    <xf borderId="31" fillId="4" fontId="5" numFmtId="0" xfId="0" applyAlignment="1" applyBorder="1" applyFont="1">
      <alignment horizontal="center" readingOrder="0" shrinkToFit="0" vertical="center" wrapText="1"/>
    </xf>
    <xf borderId="13" fillId="2" fontId="16" numFmtId="0" xfId="0" applyAlignment="1" applyBorder="1" applyFont="1">
      <alignment horizontal="center" readingOrder="0" shrinkToFit="0" vertical="center" wrapText="1"/>
    </xf>
    <xf borderId="19" fillId="4" fontId="11" numFmtId="164" xfId="0" applyAlignment="1" applyBorder="1" applyFont="1" applyNumberFormat="1">
      <alignment horizontal="left" shrinkToFit="0" vertical="center" wrapText="1"/>
    </xf>
    <xf borderId="19" fillId="2" fontId="11" numFmtId="0" xfId="0" applyAlignment="1" applyBorder="1" applyFont="1">
      <alignment horizontal="left" shrinkToFit="0" vertical="center" wrapText="1"/>
    </xf>
    <xf borderId="32" fillId="4" fontId="5" numFmtId="0" xfId="0" applyAlignment="1" applyBorder="1" applyFont="1">
      <alignment horizontal="center" readingOrder="0" shrinkToFit="0" vertical="center" wrapText="1"/>
    </xf>
    <xf borderId="19" fillId="2" fontId="16" numFmtId="0" xfId="0" applyAlignment="1" applyBorder="1" applyFont="1">
      <alignment horizontal="center" readingOrder="0" shrinkToFit="0" vertical="center" wrapText="1"/>
    </xf>
    <xf borderId="33" fillId="4" fontId="5" numFmtId="0" xfId="0" applyAlignment="1" applyBorder="1" applyFont="1">
      <alignment horizontal="center" readingOrder="0" shrinkToFit="0" vertical="center" wrapText="1"/>
    </xf>
    <xf borderId="29" fillId="2" fontId="16" numFmtId="0" xfId="0" applyAlignment="1" applyBorder="1" applyFont="1">
      <alignment horizontal="center" readingOrder="0" shrinkToFit="0" vertical="center" wrapText="1"/>
    </xf>
    <xf borderId="34" fillId="0" fontId="4" numFmtId="0" xfId="0" applyBorder="1" applyFont="1"/>
    <xf borderId="22" fillId="2" fontId="16" numFmtId="0" xfId="0" applyAlignment="1" applyBorder="1" applyFont="1">
      <alignment horizontal="center" shrinkToFit="0" vertical="center" wrapText="1"/>
    </xf>
    <xf borderId="6" fillId="2" fontId="16" numFmtId="0" xfId="0" applyAlignment="1" applyBorder="1" applyFont="1">
      <alignment horizontal="center" shrinkToFit="0" vertical="center" wrapText="1"/>
    </xf>
    <xf borderId="19" fillId="4" fontId="13" numFmtId="164" xfId="0" applyAlignment="1" applyBorder="1" applyFont="1" applyNumberFormat="1">
      <alignment horizontal="left" readingOrder="0" shrinkToFit="0" vertical="center" wrapText="1"/>
    </xf>
    <xf borderId="19" fillId="2" fontId="13" numFmtId="0" xfId="0" applyAlignment="1" applyBorder="1" applyFont="1">
      <alignment horizontal="left" readingOrder="0" shrinkToFit="0" vertical="center" wrapText="1"/>
    </xf>
    <xf borderId="22" fillId="2" fontId="16" numFmtId="0" xfId="0" applyAlignment="1" applyBorder="1" applyFont="1">
      <alignment horizontal="center" shrinkToFit="0" vertical="center" wrapText="1"/>
    </xf>
    <xf borderId="35" fillId="2" fontId="5" numFmtId="0" xfId="0" applyAlignment="1" applyBorder="1" applyFont="1">
      <alignment horizontal="center" readingOrder="0" shrinkToFit="0" vertical="center" wrapText="1"/>
    </xf>
    <xf borderId="35" fillId="2" fontId="2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29" fillId="4" fontId="11" numFmtId="164" xfId="0" applyAlignment="1" applyBorder="1" applyFont="1" applyNumberFormat="1">
      <alignment horizontal="center" shrinkToFit="0" vertical="center" wrapText="1"/>
    </xf>
    <xf borderId="29" fillId="2" fontId="11" numFmtId="0" xfId="0" applyAlignment="1" applyBorder="1" applyFont="1">
      <alignment horizontal="center" shrinkToFit="0" vertical="center" wrapText="1"/>
    </xf>
    <xf borderId="35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1" fillId="5" fontId="20" numFmtId="0" xfId="0" applyAlignment="1" applyBorder="1" applyFont="1">
      <alignment horizontal="center" shrinkToFit="0" vertical="center" wrapText="1"/>
    </xf>
    <xf borderId="3" fillId="5" fontId="21" numFmtId="0" xfId="0" applyAlignment="1" applyBorder="1" applyFont="1">
      <alignment horizontal="center" readingOrder="0" shrinkToFit="0" vertical="center" wrapText="1"/>
    </xf>
    <xf borderId="1" fillId="5" fontId="22" numFmtId="0" xfId="0" applyAlignment="1" applyBorder="1" applyFont="1">
      <alignment horizontal="center" readingOrder="0" shrinkToFit="0" vertical="center" wrapText="1"/>
    </xf>
    <xf borderId="1" fillId="5" fontId="23" numFmtId="0" xfId="0" applyAlignment="1" applyBorder="1" applyFont="1">
      <alignment horizontal="center" readingOrder="0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2" fillId="5" fontId="24" numFmtId="0" xfId="0" applyAlignment="1" applyBorder="1" applyFont="1">
      <alignment horizontal="center" readingOrder="0" shrinkToFit="0" vertical="center" wrapText="1"/>
    </xf>
    <xf borderId="6" fillId="5" fontId="20" numFmtId="0" xfId="0" applyAlignment="1" applyBorder="1" applyFont="1">
      <alignment horizontal="center" shrinkToFit="0" vertical="center" wrapText="1"/>
    </xf>
    <xf borderId="36" fillId="3" fontId="5" numFmtId="0" xfId="0" applyAlignment="1" applyBorder="1" applyFont="1">
      <alignment horizontal="center" readingOrder="0" shrinkToFit="0" vertical="center" wrapText="1"/>
    </xf>
    <xf borderId="7" fillId="5" fontId="20" numFmtId="0" xfId="0" applyAlignment="1" applyBorder="1" applyFont="1">
      <alignment horizontal="center" readingOrder="0" shrinkToFit="0" vertical="center" wrapText="1"/>
    </xf>
    <xf borderId="36" fillId="5" fontId="20" numFmtId="0" xfId="0" applyAlignment="1" applyBorder="1" applyFont="1">
      <alignment horizontal="center" shrinkToFit="0" vertical="center" wrapText="1"/>
    </xf>
    <xf borderId="36" fillId="3" fontId="25" numFmtId="0" xfId="0" applyAlignment="1" applyBorder="1" applyFont="1">
      <alignment horizontal="center" readingOrder="0" shrinkToFit="0" vertical="center" wrapText="1"/>
    </xf>
    <xf borderId="35" fillId="5" fontId="20" numFmtId="0" xfId="0" applyAlignment="1" applyBorder="1" applyFont="1">
      <alignment horizontal="center" shrinkToFit="0" vertical="center" wrapText="1"/>
    </xf>
    <xf borderId="35" fillId="5" fontId="20" numFmtId="0" xfId="0" applyAlignment="1" applyBorder="1" applyFont="1">
      <alignment horizontal="center" shrinkToFit="0" vertical="center" wrapText="1"/>
    </xf>
    <xf borderId="2" fillId="5" fontId="20" numFmtId="0" xfId="0" applyAlignment="1" applyBorder="1" applyFont="1">
      <alignment horizontal="center" shrinkToFit="0" vertical="center" wrapText="1"/>
    </xf>
    <xf borderId="36" fillId="3" fontId="15" numFmtId="0" xfId="0" applyAlignment="1" applyBorder="1" applyFont="1">
      <alignment horizontal="center" shrinkToFit="0" vertical="center" wrapText="1"/>
    </xf>
    <xf borderId="36" fillId="3" fontId="15" numFmtId="0" xfId="0" applyAlignment="1" applyBorder="1" applyFont="1">
      <alignment horizontal="center" readingOrder="0" shrinkToFit="0" vertical="center" wrapText="1"/>
    </xf>
    <xf borderId="37" fillId="6" fontId="26" numFmtId="0" xfId="0" applyAlignment="1" applyBorder="1" applyFill="1" applyFont="1">
      <alignment horizontal="center" shrinkToFit="0" textRotation="90" vertical="center" wrapText="1"/>
    </xf>
    <xf borderId="7" fillId="3" fontId="15" numFmtId="0" xfId="0" applyAlignment="1" applyBorder="1" applyFont="1">
      <alignment horizontal="center" shrinkToFit="0" vertical="center" wrapText="1"/>
    </xf>
    <xf borderId="36" fillId="3" fontId="15" numFmtId="0" xfId="0" applyAlignment="1" applyBorder="1" applyFont="1">
      <alignment horizontal="center" shrinkToFit="0" vertical="center" wrapText="1"/>
    </xf>
    <xf borderId="12" fillId="5" fontId="27" numFmtId="0" xfId="0" applyAlignment="1" applyBorder="1" applyFont="1">
      <alignment horizontal="center" readingOrder="0" shrinkToFit="0" vertical="center" wrapText="1"/>
    </xf>
    <xf borderId="37" fillId="3" fontId="28" numFmtId="0" xfId="0" applyAlignment="1" applyBorder="1" applyFont="1">
      <alignment horizontal="center" shrinkToFit="0" vertical="center" wrapText="1"/>
    </xf>
    <xf borderId="36" fillId="4" fontId="29" numFmtId="0" xfId="0" applyAlignment="1" applyBorder="1" applyFont="1">
      <alignment horizontal="center" readingOrder="0" shrinkToFit="0" vertical="center" wrapText="1"/>
    </xf>
    <xf borderId="36" fillId="4" fontId="30" numFmtId="0" xfId="0" applyAlignment="1" applyBorder="1" applyFont="1">
      <alignment horizontal="center" readingOrder="0" shrinkToFit="0" vertical="center" wrapText="1"/>
    </xf>
    <xf borderId="38" fillId="0" fontId="4" numFmtId="0" xfId="0" applyBorder="1" applyFont="1"/>
    <xf borderId="7" fillId="4" fontId="30" numFmtId="0" xfId="0" applyAlignment="1" applyBorder="1" applyFont="1">
      <alignment horizontal="center" shrinkToFit="0" vertical="center" wrapText="1"/>
    </xf>
    <xf borderId="7" fillId="4" fontId="30" numFmtId="0" xfId="0" applyAlignment="1" applyBorder="1" applyFont="1">
      <alignment horizontal="center" readingOrder="0" shrinkToFit="0" vertical="center" wrapText="1"/>
    </xf>
    <xf borderId="12" fillId="5" fontId="30" numFmtId="0" xfId="0" applyAlignment="1" applyBorder="1" applyFont="1">
      <alignment horizontal="center" readingOrder="0" shrinkToFit="0" vertical="center" wrapText="1"/>
    </xf>
    <xf borderId="6" fillId="5" fontId="30" numFmtId="0" xfId="0" applyAlignment="1" applyBorder="1" applyFont="1">
      <alignment horizontal="center" shrinkToFit="0" vertical="center" wrapText="1"/>
    </xf>
    <xf borderId="32" fillId="2" fontId="30" numFmtId="166" xfId="0" applyAlignment="1" applyBorder="1" applyFont="1" applyNumberFormat="1">
      <alignment horizontal="center" readingOrder="0" shrinkToFit="0" vertical="center" wrapText="1"/>
    </xf>
    <xf borderId="31" fillId="5" fontId="30" numFmtId="0" xfId="0" applyAlignment="1" applyBorder="1" applyFont="1">
      <alignment horizontal="center" readingOrder="0" shrinkToFit="0" vertical="center" wrapText="1"/>
    </xf>
    <xf borderId="31" fillId="5" fontId="30" numFmtId="0" xfId="0" applyAlignment="1" applyBorder="1" applyFont="1">
      <alignment horizontal="center" shrinkToFit="0" vertical="center" wrapText="1"/>
    </xf>
    <xf borderId="12" fillId="5" fontId="30" numFmtId="0" xfId="0" applyAlignment="1" applyBorder="1" applyFont="1">
      <alignment horizontal="center" shrinkToFit="0" vertical="center" wrapText="1"/>
    </xf>
    <xf borderId="1" fillId="5" fontId="31" numFmtId="0" xfId="0" applyAlignment="1" applyBorder="1" applyFont="1">
      <alignment horizontal="center" readingOrder="0" shrinkToFit="0" vertical="center" wrapText="1"/>
    </xf>
    <xf borderId="1" fillId="5" fontId="32" numFmtId="0" xfId="0" applyAlignment="1" applyBorder="1" applyFont="1">
      <alignment horizontal="center" readingOrder="0" shrinkToFit="0" vertical="center" wrapText="1"/>
    </xf>
    <xf borderId="32" fillId="2" fontId="30" numFmtId="166" xfId="0" applyAlignment="1" applyBorder="1" applyFont="1" applyNumberFormat="1">
      <alignment horizontal="center" shrinkToFit="0" vertical="center" wrapText="1"/>
    </xf>
    <xf borderId="32" fillId="5" fontId="30" numFmtId="0" xfId="0" applyAlignment="1" applyBorder="1" applyFont="1">
      <alignment horizontal="center" readingOrder="0" shrinkToFit="0" vertical="center" wrapText="1"/>
    </xf>
    <xf borderId="32" fillId="5" fontId="30" numFmtId="0" xfId="0" applyAlignment="1" applyBorder="1" applyFont="1">
      <alignment horizontal="center" shrinkToFit="0" vertical="center" wrapText="1"/>
    </xf>
    <xf borderId="33" fillId="2" fontId="30" numFmtId="166" xfId="0" applyAlignment="1" applyBorder="1" applyFont="1" applyNumberFormat="1">
      <alignment horizontal="center" shrinkToFit="0" vertical="center" wrapText="1"/>
    </xf>
    <xf borderId="33" fillId="5" fontId="30" numFmtId="0" xfId="0" applyAlignment="1" applyBorder="1" applyFont="1">
      <alignment horizontal="center" readingOrder="0" shrinkToFit="0" vertical="center" wrapText="1"/>
    </xf>
    <xf borderId="33" fillId="5" fontId="30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12" fillId="5" fontId="27" numFmtId="0" xfId="0" applyAlignment="1" applyBorder="1" applyFont="1">
      <alignment horizontal="center" shrinkToFit="0" vertical="center" wrapText="1"/>
    </xf>
    <xf borderId="23" fillId="5" fontId="20" numFmtId="0" xfId="0" applyAlignment="1" applyBorder="1" applyFont="1">
      <alignment horizontal="center" shrinkToFit="0" vertical="center" wrapText="1"/>
    </xf>
    <xf borderId="12" fillId="5" fontId="20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center" shrinkToFit="0" vertical="center" wrapText="1"/>
    </xf>
    <xf borderId="16" fillId="5" fontId="33" numFmtId="0" xfId="0" applyAlignment="1" applyBorder="1" applyFont="1">
      <alignment horizontal="left" readingOrder="0" shrinkToFit="0" vertical="center" wrapText="1"/>
    </xf>
    <xf borderId="1" fillId="5" fontId="20" numFmtId="0" xfId="0" applyAlignment="1" applyBorder="1" applyFont="1">
      <alignment horizontal="center" vertical="center"/>
    </xf>
    <xf borderId="2" fillId="5" fontId="34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horizontal="left" readingOrder="0" shrinkToFit="0" vertical="center" wrapText="1"/>
    </xf>
    <xf borderId="23" fillId="0" fontId="4" numFmtId="0" xfId="0" applyBorder="1" applyFont="1"/>
    <xf borderId="6" fillId="5" fontId="20" numFmtId="0" xfId="0" applyAlignment="1" applyBorder="1" applyFont="1">
      <alignment horizontal="center" vertical="center"/>
    </xf>
    <xf borderId="7" fillId="5" fontId="20" numFmtId="0" xfId="0" applyAlignment="1" applyBorder="1" applyFont="1">
      <alignment horizontal="center" shrinkToFit="0" vertical="center" wrapText="1"/>
    </xf>
    <xf borderId="36" fillId="5" fontId="20" numFmtId="0" xfId="0" applyAlignment="1" applyBorder="1" applyFont="1">
      <alignment horizontal="center" readingOrder="0" shrinkToFit="0" vertical="center" wrapText="1"/>
    </xf>
    <xf borderId="36" fillId="3" fontId="35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2" fillId="5" fontId="20" numFmtId="0" xfId="0" applyAlignment="1" applyBorder="1" applyFont="1">
      <alignment horizontal="left" readingOrder="0" shrinkToFit="0" vertical="center" wrapText="1"/>
    </xf>
    <xf borderId="3" fillId="5" fontId="20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readingOrder="0" shrinkToFit="0" vertical="center" wrapText="1"/>
    </xf>
    <xf borderId="12" fillId="5" fontId="20" numFmtId="0" xfId="0" applyAlignment="1" applyBorder="1" applyFont="1">
      <alignment horizontal="center" readingOrder="0" vertical="center"/>
    </xf>
    <xf borderId="6" fillId="5" fontId="20" numFmtId="0" xfId="0" applyAlignment="1" applyBorder="1" applyFont="1">
      <alignment horizontal="center" readingOrder="0" vertical="center"/>
    </xf>
    <xf borderId="31" fillId="3" fontId="5" numFmtId="0" xfId="0" applyAlignment="1" applyBorder="1" applyFont="1">
      <alignment horizontal="center" readingOrder="0" vertical="center"/>
    </xf>
    <xf borderId="40" fillId="5" fontId="36" numFmtId="0" xfId="0" applyAlignment="1" applyBorder="1" applyFont="1">
      <alignment horizontal="left" readingOrder="0" shrinkToFit="0" vertical="center" wrapText="1"/>
    </xf>
    <xf borderId="40" fillId="0" fontId="4" numFmtId="0" xfId="0" applyBorder="1" applyFont="1"/>
    <xf borderId="41" fillId="0" fontId="4" numFmtId="0" xfId="0" applyBorder="1" applyFont="1"/>
    <xf borderId="42" fillId="5" fontId="20" numFmtId="0" xfId="0" applyAlignment="1" applyBorder="1" applyFont="1">
      <alignment horizontal="center" readingOrder="0" shrinkToFit="0" vertical="center" wrapText="1"/>
    </xf>
    <xf borderId="42" fillId="5" fontId="20" numFmtId="0" xfId="0" applyAlignment="1" applyBorder="1" applyFont="1">
      <alignment horizontal="center" shrinkToFit="0" vertical="center" wrapText="1"/>
    </xf>
    <xf borderId="43" fillId="5" fontId="20" numFmtId="0" xfId="0" applyAlignment="1" applyBorder="1" applyFont="1">
      <alignment horizontal="center" shrinkToFit="0" vertical="center" wrapText="1"/>
    </xf>
    <xf borderId="44" fillId="5" fontId="20" numFmtId="0" xfId="0" applyAlignment="1" applyBorder="1" applyFont="1">
      <alignment horizontal="center" shrinkToFit="0" vertical="center" wrapText="1"/>
    </xf>
    <xf borderId="12" fillId="5" fontId="20" numFmtId="0" xfId="0" applyAlignment="1" applyBorder="1" applyFont="1">
      <alignment horizontal="center" vertical="center"/>
    </xf>
    <xf borderId="32" fillId="3" fontId="5" numFmtId="0" xfId="0" applyAlignment="1" applyBorder="1" applyFont="1">
      <alignment horizontal="center" readingOrder="0" vertical="center"/>
    </xf>
    <xf borderId="45" fillId="5" fontId="36" numFmtId="0" xfId="0" applyAlignment="1" applyBorder="1" applyFont="1">
      <alignment horizontal="left" readingOrder="0" shrinkToFit="0" vertical="center" wrapText="1"/>
    </xf>
    <xf borderId="45" fillId="0" fontId="4" numFmtId="0" xfId="0" applyBorder="1" applyFont="1"/>
    <xf borderId="46" fillId="0" fontId="4" numFmtId="0" xfId="0" applyBorder="1" applyFont="1"/>
    <xf borderId="47" fillId="5" fontId="20" numFmtId="0" xfId="0" applyAlignment="1" applyBorder="1" applyFont="1">
      <alignment horizontal="center" readingOrder="0" shrinkToFit="0" vertical="center" wrapText="1"/>
    </xf>
    <xf borderId="47" fillId="5" fontId="20" numFmtId="0" xfId="0" applyAlignment="1" applyBorder="1" applyFont="1">
      <alignment horizontal="center" shrinkToFit="0" vertical="center" wrapText="1"/>
    </xf>
    <xf borderId="48" fillId="5" fontId="20" numFmtId="0" xfId="0" applyAlignment="1" applyBorder="1" applyFont="1">
      <alignment horizontal="center" shrinkToFit="0" vertical="center" wrapText="1"/>
    </xf>
    <xf borderId="49" fillId="3" fontId="5" numFmtId="0" xfId="0" applyAlignment="1" applyBorder="1" applyFont="1">
      <alignment horizontal="center" readingOrder="0" vertical="center"/>
    </xf>
    <xf borderId="50" fillId="5" fontId="36" numFmtId="0" xfId="0" applyAlignment="1" applyBorder="1" applyFont="1">
      <alignment horizontal="left" readingOrder="0" shrinkToFit="0" vertical="center" wrapText="1"/>
    </xf>
    <xf borderId="50" fillId="0" fontId="4" numFmtId="0" xfId="0" applyBorder="1" applyFont="1"/>
    <xf borderId="51" fillId="0" fontId="4" numFmtId="0" xfId="0" applyBorder="1" applyFont="1"/>
    <xf borderId="52" fillId="5" fontId="20" numFmtId="0" xfId="0" applyAlignment="1" applyBorder="1" applyFont="1">
      <alignment horizontal="center" shrinkToFit="0" vertical="center" wrapText="1"/>
    </xf>
    <xf borderId="53" fillId="5" fontId="20" numFmtId="0" xfId="0" applyAlignment="1" applyBorder="1" applyFont="1">
      <alignment horizontal="center" shrinkToFit="0" vertical="center" wrapText="1"/>
    </xf>
    <xf borderId="33" fillId="3" fontId="5" numFmtId="0" xfId="0" applyAlignment="1" applyBorder="1" applyFont="1">
      <alignment horizontal="center" readingOrder="0" vertical="center"/>
    </xf>
    <xf borderId="54" fillId="5" fontId="36" numFmtId="0" xfId="0" applyAlignment="1" applyBorder="1" applyFont="1">
      <alignment horizontal="left" readingOrder="0" shrinkToFit="0" vertical="center" wrapText="1"/>
    </xf>
    <xf borderId="54" fillId="0" fontId="4" numFmtId="0" xfId="0" applyBorder="1" applyFont="1"/>
    <xf borderId="55" fillId="0" fontId="4" numFmtId="0" xfId="0" applyBorder="1" applyFont="1"/>
    <xf borderId="56" fillId="5" fontId="20" numFmtId="0" xfId="0" applyAlignment="1" applyBorder="1" applyFont="1">
      <alignment horizontal="center" shrinkToFit="0" vertical="center" wrapText="1"/>
    </xf>
    <xf borderId="57" fillId="5" fontId="20" numFmtId="0" xfId="0" applyAlignment="1" applyBorder="1" applyFont="1">
      <alignment horizontal="center" shrinkToFit="0" vertical="center" wrapText="1"/>
    </xf>
    <xf borderId="35" fillId="5" fontId="26" numFmtId="0" xfId="0" applyAlignment="1" applyBorder="1" applyFont="1">
      <alignment horizontal="center" readingOrder="0" vertical="center"/>
    </xf>
    <xf borderId="16" fillId="5" fontId="36" numFmtId="0" xfId="0" applyAlignment="1" applyBorder="1" applyFont="1">
      <alignment horizontal="left" readingOrder="0" shrinkToFit="0" vertical="center" wrapText="1"/>
    </xf>
    <xf borderId="1" fillId="5" fontId="26" numFmtId="0" xfId="0" applyAlignment="1" applyBorder="1" applyFont="1">
      <alignment horizontal="center" readingOrder="0" vertical="center"/>
    </xf>
    <xf borderId="6" fillId="5" fontId="36" numFmtId="0" xfId="0" applyAlignment="1" applyBorder="1" applyFont="1">
      <alignment horizontal="left" readingOrder="0" shrinkToFit="0" vertical="center" wrapText="1"/>
    </xf>
    <xf borderId="22" fillId="0" fontId="4" numFmtId="0" xfId="0" applyBorder="1" applyFont="1"/>
    <xf borderId="12" fillId="0" fontId="4" numFmtId="0" xfId="0" applyBorder="1" applyFont="1"/>
    <xf borderId="35" fillId="5" fontId="33" numFmtId="0" xfId="0" applyAlignment="1" applyBorder="1" applyFont="1">
      <alignment horizontal="center" readingOrder="0" vertical="center"/>
    </xf>
    <xf borderId="16" fillId="5" fontId="33" numFmtId="0" xfId="0" applyAlignment="1" applyBorder="1" applyFont="1">
      <alignment horizontal="left" readingOrder="0" vertical="center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1" fillId="5" fontId="37" numFmtId="0" xfId="0" applyAlignment="1" applyBorder="1" applyFont="1">
      <alignment horizontal="center" shrinkToFit="0" vertical="center" wrapText="1"/>
    </xf>
    <xf borderId="1" fillId="5" fontId="38" numFmtId="0" xfId="0" applyAlignment="1" applyBorder="1" applyFont="1">
      <alignment horizontal="center" shrinkToFit="0" vertical="center" wrapText="1"/>
    </xf>
    <xf borderId="6" fillId="5" fontId="2" numFmtId="0" xfId="0" applyAlignment="1" applyBorder="1" applyFont="1">
      <alignment horizontal="center" vertical="center"/>
    </xf>
    <xf borderId="36" fillId="3" fontId="8" numFmtId="0" xfId="0" applyAlignment="1" applyBorder="1" applyFont="1">
      <alignment horizontal="center" readingOrder="0" shrinkToFit="0" vertical="center" wrapText="1"/>
    </xf>
    <xf borderId="12" fillId="5" fontId="2" numFmtId="0" xfId="0" applyAlignment="1" applyBorder="1" applyFont="1">
      <alignment horizontal="center" vertical="center"/>
    </xf>
    <xf borderId="3" fillId="5" fontId="39" numFmtId="0" xfId="0" applyAlignment="1" applyBorder="1" applyFont="1">
      <alignment horizontal="center" readingOrder="0" vertical="center"/>
    </xf>
    <xf borderId="37" fillId="4" fontId="40" numFmtId="0" xfId="0" applyAlignment="1" applyBorder="1" applyFont="1">
      <alignment horizontal="center" readingOrder="0" vertical="center"/>
    </xf>
    <xf borderId="31" fillId="5" fontId="2" numFmtId="0" xfId="0" applyAlignment="1" applyBorder="1" applyFont="1">
      <alignment horizontal="center" vertical="center"/>
    </xf>
    <xf borderId="37" fillId="5" fontId="2" numFmtId="0" xfId="0" applyAlignment="1" applyBorder="1" applyFont="1">
      <alignment horizontal="center" readingOrder="0" vertical="center"/>
    </xf>
    <xf borderId="32" fillId="5" fontId="2" numFmtId="0" xfId="0" applyAlignment="1" applyBorder="1" applyFont="1">
      <alignment horizontal="center" vertical="center"/>
    </xf>
    <xf borderId="33" fillId="5" fontId="2" numFmtId="0" xfId="0" applyAlignment="1" applyBorder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58" fillId="4" fontId="5" numFmtId="0" xfId="0" applyAlignment="1" applyBorder="1" applyFont="1">
      <alignment horizontal="center" readingOrder="0" vertical="center"/>
    </xf>
    <xf borderId="58" fillId="5" fontId="2" numFmtId="0" xfId="0" applyAlignment="1" applyBorder="1" applyFont="1">
      <alignment horizontal="center" readingOrder="0" vertical="center"/>
    </xf>
    <xf borderId="32" fillId="4" fontId="5" numFmtId="0" xfId="0" applyAlignment="1" applyBorder="1" applyFont="1">
      <alignment horizontal="center" readingOrder="0" vertical="center"/>
    </xf>
    <xf borderId="32" fillId="5" fontId="2" numFmtId="0" xfId="0" applyAlignment="1" applyBorder="1" applyFont="1">
      <alignment horizontal="center" readingOrder="0" vertical="center"/>
    </xf>
    <xf borderId="33" fillId="4" fontId="5" numFmtId="0" xfId="0" applyAlignment="1" applyBorder="1" applyFont="1">
      <alignment horizontal="center" readingOrder="0" vertical="center"/>
    </xf>
    <xf borderId="3" fillId="5" fontId="41" numFmtId="0" xfId="0" applyAlignment="1" applyBorder="1" applyFont="1">
      <alignment horizontal="center" readingOrder="0" shrinkToFit="0" vertical="center" wrapText="1"/>
    </xf>
    <xf borderId="5" fillId="5" fontId="22" numFmtId="0" xfId="0" applyAlignment="1" applyBorder="1" applyFont="1">
      <alignment horizontal="left" readingOrder="0" shrinkToFit="0" vertical="center" wrapText="1"/>
    </xf>
    <xf borderId="7" fillId="5" fontId="20" numFmtId="165" xfId="0" applyAlignment="1" applyBorder="1" applyFont="1" applyNumberFormat="1">
      <alignment horizontal="center" readingOrder="0" shrinkToFit="0" vertical="center" wrapText="1"/>
    </xf>
    <xf borderId="7" fillId="3" fontId="15" numFmtId="0" xfId="0" applyAlignment="1" applyBorder="1" applyFont="1">
      <alignment horizontal="center" readingOrder="0" shrinkToFit="0" vertical="center" wrapText="1"/>
    </xf>
    <xf borderId="2" fillId="5" fontId="22" numFmtId="0" xfId="0" applyAlignment="1" applyBorder="1" applyFont="1">
      <alignment horizontal="center" shrinkToFit="0" vertical="center" wrapText="1"/>
    </xf>
    <xf borderId="7" fillId="3" fontId="42" numFmtId="0" xfId="0" applyAlignment="1" applyBorder="1" applyFont="1">
      <alignment horizontal="left" readingOrder="0" shrinkToFit="0" vertical="center" wrapText="1"/>
    </xf>
    <xf borderId="31" fillId="5" fontId="20" numFmtId="0" xfId="0" applyAlignment="1" applyBorder="1" applyFont="1">
      <alignment horizontal="center" readingOrder="0" shrinkToFit="0" vertical="center" wrapText="1"/>
    </xf>
    <xf borderId="31" fillId="5" fontId="20" numFmtId="167" xfId="0" applyAlignment="1" applyBorder="1" applyFont="1" applyNumberFormat="1">
      <alignment horizontal="center" readingOrder="0" shrinkToFit="0" vertical="center" wrapText="1"/>
    </xf>
    <xf borderId="59" fillId="5" fontId="20" numFmtId="0" xfId="0" applyAlignment="1" applyBorder="1" applyFont="1">
      <alignment horizontal="center" readingOrder="0" shrinkToFit="0" vertical="center" wrapText="1"/>
    </xf>
    <xf borderId="60" fillId="5" fontId="20" numFmtId="0" xfId="0" applyAlignment="1" applyBorder="1" applyFont="1">
      <alignment horizontal="center" readingOrder="0" shrinkToFit="0" vertical="center" wrapText="1"/>
    </xf>
    <xf borderId="61" fillId="5" fontId="20" numFmtId="0" xfId="0" applyAlignment="1" applyBorder="1" applyFont="1">
      <alignment horizontal="center" readingOrder="0" shrinkToFit="0" vertical="center" wrapText="1"/>
    </xf>
    <xf borderId="15" fillId="5" fontId="20" numFmtId="0" xfId="0" applyAlignment="1" applyBorder="1" applyFont="1">
      <alignment horizontal="center" readingOrder="0" shrinkToFit="0" vertical="center" wrapText="1"/>
    </xf>
    <xf borderId="31" fillId="5" fontId="20" numFmtId="0" xfId="0" applyAlignment="1" applyBorder="1" applyFont="1">
      <alignment horizontal="center" shrinkToFit="0" vertical="center" wrapText="1"/>
    </xf>
    <xf borderId="32" fillId="5" fontId="20" numFmtId="0" xfId="0" applyAlignment="1" applyBorder="1" applyFont="1">
      <alignment horizontal="center" readingOrder="0" shrinkToFit="0" vertical="center" wrapText="1"/>
    </xf>
    <xf borderId="32" fillId="5" fontId="20" numFmtId="167" xfId="0" applyAlignment="1" applyBorder="1" applyFont="1" applyNumberFormat="1">
      <alignment horizontal="center" readingOrder="0" shrinkToFit="0" vertical="center" wrapText="1"/>
    </xf>
    <xf borderId="62" fillId="5" fontId="20" numFmtId="0" xfId="0" applyAlignment="1" applyBorder="1" applyFont="1">
      <alignment horizontal="center" readingOrder="0" shrinkToFit="0" vertical="center" wrapText="1"/>
    </xf>
    <xf borderId="63" fillId="5" fontId="20" numFmtId="0" xfId="0" applyAlignment="1" applyBorder="1" applyFont="1">
      <alignment horizontal="center" readingOrder="0" shrinkToFit="0" vertical="center" wrapText="1"/>
    </xf>
    <xf borderId="64" fillId="5" fontId="20" numFmtId="0" xfId="0" applyAlignment="1" applyBorder="1" applyFont="1">
      <alignment horizontal="center" readingOrder="0" shrinkToFit="0" vertical="center" wrapText="1"/>
    </xf>
    <xf borderId="21" fillId="5" fontId="20" numFmtId="0" xfId="0" applyAlignment="1" applyBorder="1" applyFont="1">
      <alignment horizontal="center" shrinkToFit="0" vertical="center" wrapText="1"/>
    </xf>
    <xf borderId="32" fillId="5" fontId="20" numFmtId="0" xfId="0" applyAlignment="1" applyBorder="1" applyFont="1">
      <alignment horizontal="center" shrinkToFit="0" vertical="center" wrapText="1"/>
    </xf>
    <xf borderId="62" fillId="5" fontId="20" numFmtId="0" xfId="0" applyAlignment="1" applyBorder="1" applyFont="1">
      <alignment horizontal="center" shrinkToFit="0" vertical="center" wrapText="1"/>
    </xf>
    <xf borderId="63" fillId="5" fontId="20" numFmtId="0" xfId="0" applyAlignment="1" applyBorder="1" applyFont="1">
      <alignment horizontal="center" shrinkToFit="0" vertical="center" wrapText="1"/>
    </xf>
    <xf borderId="64" fillId="5" fontId="20" numFmtId="0" xfId="0" applyAlignment="1" applyBorder="1" applyFont="1">
      <alignment horizontal="center" shrinkToFit="0" vertical="center" wrapText="1"/>
    </xf>
    <xf borderId="33" fillId="5" fontId="20" numFmtId="0" xfId="0" applyAlignment="1" applyBorder="1" applyFont="1">
      <alignment horizontal="center" readingOrder="0" shrinkToFit="0" vertical="center" wrapText="1"/>
    </xf>
    <xf borderId="33" fillId="5" fontId="20" numFmtId="0" xfId="0" applyAlignment="1" applyBorder="1" applyFont="1">
      <alignment horizontal="center" shrinkToFit="0" vertical="center" wrapText="1"/>
    </xf>
    <xf borderId="65" fillId="5" fontId="20" numFmtId="0" xfId="0" applyAlignment="1" applyBorder="1" applyFont="1">
      <alignment horizontal="center" shrinkToFit="0" vertical="center" wrapText="1"/>
    </xf>
    <xf borderId="66" fillId="5" fontId="20" numFmtId="0" xfId="0" applyAlignment="1" applyBorder="1" applyFont="1">
      <alignment horizontal="center" shrinkToFit="0" vertical="center" wrapText="1"/>
    </xf>
    <xf borderId="67" fillId="5" fontId="20" numFmtId="0" xfId="0" applyAlignment="1" applyBorder="1" applyFont="1">
      <alignment horizontal="center" shrinkToFit="0" vertical="center" wrapText="1"/>
    </xf>
    <xf borderId="30" fillId="5" fontId="20" numFmtId="0" xfId="0" applyAlignment="1" applyBorder="1" applyFont="1">
      <alignment horizontal="center" shrinkToFit="0" vertical="center" wrapText="1"/>
    </xf>
    <xf borderId="23" fillId="5" fontId="20" numFmtId="0" xfId="0" applyAlignment="1" applyBorder="1" applyFont="1">
      <alignment horizontal="center" shrinkToFit="0" vertical="center" wrapText="1"/>
    </xf>
    <xf borderId="23" fillId="5" fontId="22" numFmtId="0" xfId="0" applyAlignment="1" applyBorder="1" applyFont="1">
      <alignment horizontal="center" shrinkToFit="0" vertical="center" wrapText="1"/>
    </xf>
    <xf borderId="49" fillId="5" fontId="20" numFmtId="0" xfId="0" applyAlignment="1" applyBorder="1" applyFont="1">
      <alignment horizontal="center" shrinkToFit="0" vertical="center" wrapText="1"/>
    </xf>
    <xf borderId="33" fillId="0" fontId="11" numFmtId="0" xfId="0" applyBorder="1" applyFont="1"/>
    <xf borderId="6" fillId="5" fontId="33" numFmtId="0" xfId="0" applyAlignment="1" applyBorder="1" applyFont="1">
      <alignment horizontal="left" readingOrder="0" shrinkToFit="0" vertical="center" wrapText="1"/>
    </xf>
    <xf borderId="1" fillId="5" fontId="43" numFmtId="0" xfId="0" applyAlignment="1" applyBorder="1" applyFont="1">
      <alignment horizontal="center" readingOrder="0" shrinkToFit="0" vertical="center" wrapText="1"/>
    </xf>
    <xf borderId="3" fillId="5" fontId="41" numFmtId="0" xfId="0" applyAlignment="1" applyBorder="1" applyFont="1">
      <alignment horizontal="center" readingOrder="0" shrinkToFit="0" vertical="center" wrapText="1"/>
    </xf>
    <xf borderId="3" fillId="5" fontId="43" numFmtId="0" xfId="0" applyAlignment="1" applyBorder="1" applyFont="1">
      <alignment horizontal="center" readingOrder="0" shrinkToFit="0" vertical="center" wrapText="1"/>
    </xf>
    <xf borderId="2" fillId="5" fontId="43" numFmtId="1" xfId="0" applyAlignment="1" applyBorder="1" applyFont="1" applyNumberFormat="1">
      <alignment horizontal="center" readingOrder="0" shrinkToFit="0" vertical="center" wrapText="1"/>
    </xf>
    <xf borderId="2" fillId="5" fontId="43" numFmtId="0" xfId="0" applyAlignment="1" applyBorder="1" applyFont="1">
      <alignment horizontal="center" shrinkToFit="0" vertical="center" wrapText="1"/>
    </xf>
    <xf borderId="3" fillId="5" fontId="43" numFmtId="0" xfId="0" applyAlignment="1" applyBorder="1" applyFont="1">
      <alignment horizontal="center" shrinkToFit="0" vertical="center" wrapText="1"/>
    </xf>
    <xf borderId="1" fillId="5" fontId="43" numFmtId="0" xfId="0" applyAlignment="1" applyBorder="1" applyFont="1">
      <alignment horizontal="center" shrinkToFit="0" vertical="center" wrapText="1"/>
    </xf>
    <xf borderId="11" fillId="7" fontId="4" numFmtId="0" xfId="0" applyBorder="1" applyFill="1" applyFont="1"/>
    <xf borderId="36" fillId="3" fontId="8" numFmtId="0" xfId="0" applyAlignment="1" applyBorder="1" applyFont="1">
      <alignment horizontal="center" readingOrder="0" shrinkToFit="0" vertical="center" wrapText="1"/>
    </xf>
    <xf borderId="36" fillId="3" fontId="8" numFmtId="1" xfId="0" applyAlignment="1" applyBorder="1" applyFont="1" applyNumberFormat="1">
      <alignment horizontal="center" readingOrder="0" shrinkToFit="0" vertical="center" wrapText="1"/>
    </xf>
    <xf borderId="23" fillId="7" fontId="4" numFmtId="0" xfId="0" applyBorder="1" applyFont="1"/>
    <xf borderId="11" fillId="4" fontId="4" numFmtId="0" xfId="0" applyBorder="1" applyFont="1"/>
    <xf borderId="36" fillId="4" fontId="8" numFmtId="0" xfId="0" applyAlignment="1" applyBorder="1" applyFont="1">
      <alignment horizontal="center" readingOrder="0" shrinkToFit="0" vertical="center" wrapText="1"/>
    </xf>
    <xf borderId="36" fillId="5" fontId="43" numFmtId="1" xfId="0" applyAlignment="1" applyBorder="1" applyFont="1" applyNumberFormat="1">
      <alignment horizontal="center" readingOrder="0" shrinkToFit="0" vertical="center" wrapText="1"/>
    </xf>
    <xf borderId="23" fillId="4" fontId="4" numFmtId="0" xfId="0" applyBorder="1" applyFont="1"/>
    <xf borderId="10" fillId="5" fontId="43" numFmtId="0" xfId="0" applyAlignment="1" applyBorder="1" applyFont="1">
      <alignment horizontal="center" readingOrder="0" shrinkToFit="0" vertical="center" wrapText="1"/>
    </xf>
    <xf borderId="6" fillId="5" fontId="43" numFmtId="0" xfId="0" applyAlignment="1" applyBorder="1" applyFont="1">
      <alignment horizontal="left" readingOrder="0" shrinkToFit="0" vertical="center" wrapText="1"/>
    </xf>
    <xf borderId="7" fillId="3" fontId="8" numFmtId="0" xfId="0" applyAlignment="1" applyBorder="1" applyFont="1">
      <alignment horizontal="left" readingOrder="0" shrinkToFit="0" vertical="center" wrapText="1"/>
    </xf>
    <xf borderId="12" fillId="5" fontId="43" numFmtId="0" xfId="0" applyAlignment="1" applyBorder="1" applyFont="1">
      <alignment horizontal="center" shrinkToFit="0" vertical="center" wrapText="1"/>
    </xf>
    <xf borderId="6" fillId="5" fontId="43" numFmtId="0" xfId="0" applyAlignment="1" applyBorder="1" applyFont="1">
      <alignment horizontal="center" readingOrder="0" shrinkToFit="0" vertical="center" wrapText="1"/>
    </xf>
    <xf borderId="7" fillId="3" fontId="8" numFmtId="0" xfId="0" applyAlignment="1" applyBorder="1" applyFont="1">
      <alignment horizontal="center" readingOrder="0" shrinkToFit="0" vertical="center" wrapText="1"/>
    </xf>
    <xf borderId="36" fillId="3" fontId="15" numFmtId="0" xfId="0" applyAlignment="1" applyBorder="1" applyFont="1">
      <alignment horizontal="center" readingOrder="0" shrinkToFit="0" vertical="center" wrapText="1"/>
    </xf>
    <xf borderId="68" fillId="4" fontId="43" numFmtId="0" xfId="0" applyAlignment="1" applyBorder="1" applyFont="1">
      <alignment horizontal="center" readingOrder="0" shrinkToFit="0" vertical="center" wrapText="1"/>
    </xf>
    <xf borderId="69" fillId="7" fontId="4" numFmtId="0" xfId="0" applyBorder="1" applyFont="1"/>
    <xf borderId="31" fillId="5" fontId="44" numFmtId="0" xfId="0" applyAlignment="1" applyBorder="1" applyFont="1">
      <alignment horizontal="center" readingOrder="0" shrinkToFit="0" vertical="center" wrapText="1"/>
    </xf>
    <xf borderId="31" fillId="5" fontId="44" numFmtId="1" xfId="0" applyAlignment="1" applyBorder="1" applyFont="1" applyNumberFormat="1">
      <alignment horizontal="center" readingOrder="0" shrinkToFit="0" vertical="center" wrapText="1"/>
    </xf>
    <xf borderId="31" fillId="5" fontId="44" numFmtId="1" xfId="0" applyAlignment="1" applyBorder="1" applyFont="1" applyNumberFormat="1">
      <alignment horizontal="center" shrinkToFit="0" vertical="center" wrapText="1"/>
    </xf>
    <xf borderId="31" fillId="5" fontId="44" numFmtId="1" xfId="0" applyAlignment="1" applyBorder="1" applyFont="1" applyNumberFormat="1">
      <alignment horizontal="center" shrinkToFit="0" vertical="center" wrapText="1"/>
    </xf>
    <xf borderId="4" fillId="5" fontId="43" numFmtId="0" xfId="0" applyAlignment="1" applyBorder="1" applyFont="1">
      <alignment horizontal="center" shrinkToFit="0" vertical="center" wrapText="1"/>
    </xf>
    <xf borderId="69" fillId="0" fontId="4" numFmtId="0" xfId="0" applyBorder="1" applyFont="1"/>
    <xf borderId="70" fillId="4" fontId="4" numFmtId="0" xfId="0" applyBorder="1" applyFont="1"/>
    <xf borderId="71" fillId="4" fontId="4" numFmtId="0" xfId="0" applyBorder="1" applyFont="1"/>
    <xf borderId="32" fillId="5" fontId="44" numFmtId="0" xfId="0" applyAlignment="1" applyBorder="1" applyFont="1">
      <alignment horizontal="center" readingOrder="0" shrinkToFit="0" vertical="center" wrapText="1"/>
    </xf>
    <xf borderId="32" fillId="5" fontId="44" numFmtId="1" xfId="0" applyAlignment="1" applyBorder="1" applyFont="1" applyNumberFormat="1">
      <alignment horizontal="center" readingOrder="0" shrinkToFit="0" vertical="center" wrapText="1"/>
    </xf>
    <xf borderId="32" fillId="5" fontId="44" numFmtId="1" xfId="0" applyAlignment="1" applyBorder="1" applyFont="1" applyNumberFormat="1">
      <alignment horizontal="center" shrinkToFit="0" vertical="center" wrapText="1"/>
    </xf>
    <xf borderId="32" fillId="5" fontId="44" numFmtId="1" xfId="0" applyAlignment="1" applyBorder="1" applyFont="1" applyNumberFormat="1">
      <alignment horizontal="center" shrinkToFit="0" vertical="center" wrapText="1"/>
    </xf>
    <xf borderId="70" fillId="0" fontId="4" numFmtId="0" xfId="0" applyBorder="1" applyFont="1"/>
    <xf borderId="71" fillId="0" fontId="4" numFmtId="0" xfId="0" applyBorder="1" applyFont="1"/>
    <xf borderId="70" fillId="7" fontId="4" numFmtId="0" xfId="0" applyBorder="1" applyFont="1"/>
    <xf borderId="71" fillId="7" fontId="4" numFmtId="0" xfId="0" applyBorder="1" applyFont="1"/>
    <xf borderId="33" fillId="5" fontId="44" numFmtId="0" xfId="0" applyAlignment="1" applyBorder="1" applyFont="1">
      <alignment horizontal="center" readingOrder="0" shrinkToFit="0" vertical="center" wrapText="1"/>
    </xf>
    <xf borderId="33" fillId="5" fontId="44" numFmtId="1" xfId="0" applyAlignment="1" applyBorder="1" applyFont="1" applyNumberFormat="1">
      <alignment horizontal="center" readingOrder="0" shrinkToFit="0" vertical="center" wrapText="1"/>
    </xf>
    <xf borderId="33" fillId="5" fontId="44" numFmtId="1" xfId="0" applyAlignment="1" applyBorder="1" applyFont="1" applyNumberFormat="1">
      <alignment horizontal="center" shrinkToFit="0" vertical="center" wrapText="1"/>
    </xf>
    <xf borderId="33" fillId="5" fontId="44" numFmtId="1" xfId="0" applyAlignment="1" applyBorder="1" applyFont="1" applyNumberFormat="1">
      <alignment horizontal="center" shrinkToFit="0" vertical="center" wrapText="1"/>
    </xf>
    <xf borderId="24" fillId="7" fontId="4" numFmtId="0" xfId="0" applyBorder="1" applyFont="1"/>
    <xf borderId="25" fillId="7" fontId="4" numFmtId="0" xfId="0" applyBorder="1" applyFont="1"/>
    <xf borderId="7" fillId="4" fontId="43" numFmtId="0" xfId="0" applyAlignment="1" applyBorder="1" applyFont="1">
      <alignment horizontal="center" readingOrder="0" shrinkToFit="0" vertical="center" wrapText="1"/>
    </xf>
    <xf borderId="8" fillId="7" fontId="4" numFmtId="0" xfId="0" applyBorder="1" applyFont="1"/>
    <xf borderId="9" fillId="7" fontId="4" numFmtId="0" xfId="0" applyBorder="1" applyFont="1"/>
    <xf borderId="36" fillId="4" fontId="43" numFmtId="1" xfId="0" applyAlignment="1" applyBorder="1" applyFont="1" applyNumberFormat="1">
      <alignment horizontal="center" readingOrder="0" shrinkToFit="0" vertical="center" wrapText="1"/>
    </xf>
    <xf borderId="24" fillId="0" fontId="4" numFmtId="0" xfId="0" applyBorder="1" applyFont="1"/>
    <xf borderId="16" fillId="5" fontId="43" numFmtId="0" xfId="0" applyAlignment="1" applyBorder="1" applyFont="1">
      <alignment horizontal="center" readingOrder="0" shrinkToFit="0" vertical="center" wrapText="1"/>
    </xf>
    <xf borderId="17" fillId="4" fontId="4" numFmtId="0" xfId="0" applyBorder="1" applyFont="1"/>
    <xf borderId="18" fillId="4" fontId="4" numFmtId="0" xfId="0" applyBorder="1" applyFont="1"/>
    <xf borderId="22" fillId="4" fontId="4" numFmtId="0" xfId="0" applyBorder="1" applyFont="1"/>
    <xf borderId="12" fillId="4" fontId="4" numFmtId="0" xfId="0" applyBorder="1" applyFont="1"/>
    <xf borderId="4" fillId="4" fontId="4" numFmtId="0" xfId="0" applyBorder="1" applyFont="1"/>
    <xf borderId="5" fillId="4" fontId="4" numFmtId="0" xfId="0" applyBorder="1" applyFont="1"/>
    <xf borderId="7" fillId="3" fontId="43" numFmtId="0" xfId="0" applyAlignment="1" applyBorder="1" applyFont="1">
      <alignment horizontal="center" readingOrder="0" shrinkToFit="0" vertical="center" wrapText="1"/>
    </xf>
    <xf borderId="36" fillId="3" fontId="43" numFmtId="1" xfId="0" applyAlignment="1" applyBorder="1" applyFont="1" applyNumberFormat="1">
      <alignment horizontal="center" readingOrder="0" shrinkToFit="0" vertical="center" wrapText="1"/>
    </xf>
    <xf borderId="1" fillId="5" fontId="44" numFmtId="0" xfId="0" applyAlignment="1" applyBorder="1" applyFont="1">
      <alignment horizontal="right" readingOrder="0" shrinkToFit="0" vertical="center" wrapText="1"/>
    </xf>
    <xf borderId="16" fillId="5" fontId="33" numFmtId="0" xfId="0" applyAlignment="1" applyBorder="1" applyFont="1">
      <alignment horizontal="right" readingOrder="0" shrinkToFit="0" vertical="center" wrapText="1"/>
    </xf>
    <xf borderId="3" fillId="5" fontId="43" numFmtId="0" xfId="0" applyAlignment="1" applyBorder="1" applyFont="1">
      <alignment horizontal="center" shrinkToFit="0" vertical="center" wrapText="1"/>
    </xf>
    <xf borderId="36" fillId="3" fontId="15" numFmtId="1" xfId="0" applyAlignment="1" applyBorder="1" applyFont="1" applyNumberFormat="1">
      <alignment horizontal="center" readingOrder="0" shrinkToFit="0" vertical="center" wrapText="1"/>
    </xf>
    <xf borderId="5" fillId="5" fontId="43" numFmtId="1" xfId="0" applyAlignment="1" applyBorder="1" applyFont="1" applyNumberFormat="1">
      <alignment horizontal="center" shrinkToFit="0" vertical="center" wrapText="1"/>
    </xf>
    <xf borderId="36" fillId="4" fontId="15" numFmtId="0" xfId="0" applyAlignment="1" applyBorder="1" applyFont="1">
      <alignment horizontal="center" readingOrder="0" shrinkToFit="0" vertical="center" wrapText="1"/>
    </xf>
    <xf borderId="36" fillId="5" fontId="29" numFmtId="1" xfId="0" applyAlignment="1" applyBorder="1" applyFont="1" applyNumberFormat="1">
      <alignment horizontal="center" shrinkToFit="0" vertical="center" wrapText="1"/>
    </xf>
    <xf borderId="36" fillId="4" fontId="15" numFmtId="0" xfId="0" applyAlignment="1" applyBorder="1" applyFont="1">
      <alignment horizontal="center" readingOrder="0" shrinkToFit="0" vertical="center" wrapText="1"/>
    </xf>
    <xf borderId="36" fillId="5" fontId="29" numFmtId="1" xfId="0" applyAlignment="1" applyBorder="1" applyFont="1" applyNumberFormat="1">
      <alignment horizontal="center" readingOrder="0" shrinkToFit="0" vertical="center" wrapText="1"/>
    </xf>
    <xf borderId="4" fillId="5" fontId="43" numFmtId="0" xfId="0" applyAlignment="1" applyBorder="1" applyFont="1">
      <alignment horizontal="left" shrinkToFit="0" vertical="center" wrapText="1"/>
    </xf>
    <xf borderId="5" fillId="5" fontId="43" numFmtId="0" xfId="0" applyAlignment="1" applyBorder="1" applyFont="1">
      <alignment horizontal="left" shrinkToFit="0" vertical="center" wrapText="1"/>
    </xf>
    <xf borderId="10" fillId="4" fontId="4" numFmtId="0" xfId="0" applyBorder="1" applyFont="1"/>
    <xf borderId="10" fillId="7" fontId="4" numFmtId="0" xfId="0" applyBorder="1" applyFont="1"/>
    <xf borderId="16" fillId="7" fontId="4" numFmtId="0" xfId="0" applyBorder="1" applyFont="1"/>
    <xf borderId="1" fillId="5" fontId="45" numFmtId="0" xfId="0" applyAlignment="1" applyBorder="1" applyFont="1">
      <alignment horizontal="center" shrinkToFit="0" vertical="center" wrapText="1"/>
    </xf>
    <xf borderId="3" fillId="5" fontId="34" numFmtId="0" xfId="0" applyAlignment="1" applyBorder="1" applyFont="1">
      <alignment horizontal="left" readingOrder="0" shrinkToFit="0" vertical="center" wrapText="1"/>
    </xf>
    <xf borderId="12" fillId="5" fontId="43" numFmtId="0" xfId="0" applyAlignment="1" applyBorder="1" applyFont="1">
      <alignment horizontal="center" shrinkToFit="0" vertical="center" wrapText="1"/>
    </xf>
    <xf borderId="58" fillId="5" fontId="43" numFmtId="0" xfId="0" applyAlignment="1" applyBorder="1" applyFont="1">
      <alignment horizontal="center" readingOrder="0" shrinkToFit="0" vertical="center" wrapText="1"/>
    </xf>
    <xf borderId="58" fillId="5" fontId="44" numFmtId="0" xfId="0" applyAlignment="1" applyBorder="1" applyFont="1">
      <alignment horizontal="left" readingOrder="0" shrinkToFit="0" vertical="center" wrapText="1"/>
    </xf>
    <xf borderId="58" fillId="5" fontId="44" numFmtId="0" xfId="0" applyAlignment="1" applyBorder="1" applyFont="1">
      <alignment horizontal="center" readingOrder="0" shrinkToFit="0" vertical="center" wrapText="1"/>
    </xf>
    <xf borderId="5" fillId="5" fontId="43" numFmtId="0" xfId="0" applyAlignment="1" applyBorder="1" applyFont="1">
      <alignment horizontal="center" shrinkToFit="0" vertical="center" wrapText="1"/>
    </xf>
    <xf borderId="32" fillId="5" fontId="43" numFmtId="0" xfId="0" applyAlignment="1" applyBorder="1" applyFont="1">
      <alignment horizontal="center" readingOrder="0" shrinkToFit="0" vertical="center" wrapText="1"/>
    </xf>
    <xf borderId="32" fillId="5" fontId="44" numFmtId="0" xfId="0" applyAlignment="1" applyBorder="1" applyFont="1">
      <alignment horizontal="left" readingOrder="0" shrinkToFit="0" vertical="center" wrapText="1"/>
    </xf>
    <xf borderId="32" fillId="5" fontId="44" numFmtId="0" xfId="0" applyAlignment="1" applyBorder="1" applyFont="1">
      <alignment horizontal="left" readingOrder="0" vertical="center"/>
    </xf>
    <xf borderId="32" fillId="5" fontId="44" numFmtId="0" xfId="0" applyAlignment="1" applyBorder="1" applyFont="1">
      <alignment horizontal="center" readingOrder="0" vertical="center"/>
    </xf>
    <xf borderId="32" fillId="5" fontId="44" numFmtId="0" xfId="0" applyAlignment="1" applyBorder="1" applyFont="1">
      <alignment readingOrder="0" vertical="center"/>
    </xf>
    <xf borderId="49" fillId="5" fontId="44" numFmtId="0" xfId="0" applyAlignment="1" applyBorder="1" applyFont="1">
      <alignment readingOrder="0" vertical="center"/>
    </xf>
    <xf borderId="49" fillId="5" fontId="44" numFmtId="0" xfId="0" applyAlignment="1" applyBorder="1" applyFont="1">
      <alignment horizontal="center" readingOrder="0" vertical="center"/>
    </xf>
    <xf borderId="33" fillId="5" fontId="43" numFmtId="0" xfId="0" applyAlignment="1" applyBorder="1" applyFont="1">
      <alignment horizontal="center" readingOrder="0" shrinkToFit="0" vertical="center" wrapText="1"/>
    </xf>
    <xf borderId="33" fillId="5" fontId="44" numFmtId="0" xfId="0" applyAlignment="1" applyBorder="1" applyFont="1">
      <alignment readingOrder="0" vertical="center"/>
    </xf>
    <xf borderId="33" fillId="5" fontId="44" numFmtId="0" xfId="0" applyAlignment="1" applyBorder="1" applyFont="1">
      <alignment horizontal="center" readingOrder="0" vertical="center"/>
    </xf>
    <xf borderId="16" fillId="5" fontId="33" numFmtId="0" xfId="0" applyAlignment="1" applyBorder="1" applyFont="1">
      <alignment horizontal="left" readingOrder="0" shrinkToFit="0" vertical="center" wrapText="1"/>
    </xf>
    <xf borderId="2" fillId="5" fontId="46" numFmtId="0" xfId="0" applyAlignment="1" applyBorder="1" applyFont="1">
      <alignment horizontal="center" shrinkToFit="0" vertical="center" wrapText="1"/>
    </xf>
    <xf borderId="37" fillId="3" fontId="8" numFmtId="0" xfId="0" applyAlignment="1" applyBorder="1" applyFont="1">
      <alignment horizontal="center" readingOrder="0" shrinkToFit="0" vertical="center" wrapText="1"/>
    </xf>
    <xf borderId="31" fillId="8" fontId="43" numFmtId="0" xfId="0" applyAlignment="1" applyBorder="1" applyFill="1" applyFont="1">
      <alignment horizontal="center" readingOrder="0" shrinkToFit="0" vertical="center" wrapText="1"/>
    </xf>
    <xf borderId="13" fillId="5" fontId="44" numFmtId="0" xfId="0" applyAlignment="1" applyBorder="1" applyFont="1">
      <alignment horizontal="center" readingOrder="0" shrinkToFit="0" vertical="center" wrapText="1"/>
    </xf>
    <xf borderId="31" fillId="0" fontId="2" numFmtId="0" xfId="0" applyAlignment="1" applyBorder="1" applyFont="1">
      <alignment horizontal="center" readingOrder="0" shrinkToFit="0" vertical="center" wrapText="1"/>
    </xf>
    <xf borderId="32" fillId="8" fontId="43" numFmtId="0" xfId="0" applyAlignment="1" applyBorder="1" applyFont="1">
      <alignment horizontal="center" readingOrder="0" shrinkToFit="0" vertical="center" wrapText="1"/>
    </xf>
    <xf borderId="72" fillId="5" fontId="2" numFmtId="0" xfId="0" applyAlignment="1" applyBorder="1" applyFont="1">
      <alignment horizontal="center" shrinkToFit="0" wrapText="1"/>
    </xf>
    <xf borderId="32" fillId="5" fontId="44" numFmtId="0" xfId="0" applyAlignment="1" applyBorder="1" applyFont="1">
      <alignment horizontal="center" readingOrder="0" shrinkToFit="0" vertical="center" wrapText="1"/>
    </xf>
    <xf borderId="72" fillId="0" fontId="2" numFmtId="0" xfId="0" applyAlignment="1" applyBorder="1" applyFont="1">
      <alignment horizontal="center" shrinkToFit="0" wrapText="1"/>
    </xf>
    <xf borderId="32" fillId="5" fontId="20" numFmtId="0" xfId="0" applyAlignment="1" applyBorder="1" applyFont="1">
      <alignment shrinkToFit="0" vertical="center" wrapText="1"/>
    </xf>
    <xf borderId="33" fillId="8" fontId="43" numFmtId="0" xfId="0" applyAlignment="1" applyBorder="1" applyFont="1">
      <alignment horizontal="center" readingOrder="0" shrinkToFit="0" vertical="center" wrapText="1"/>
    </xf>
    <xf borderId="33" fillId="5" fontId="4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FEC8E5"/>
          <bgColor rgb="FFFEC8E5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</dxfs>
  <tableStyles count="1">
    <tableStyle count="2" pivot="0" name="Food List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89CFF0"/>
                </a:solidFill>
                <a:latin typeface="+mn-lt"/>
              </a:defRPr>
            </a:pPr>
            <a:r>
              <a:rPr b="1" sz="2000">
                <a:solidFill>
                  <a:srgbClr val="89CFF0"/>
                </a:solidFill>
                <a:latin typeface="+mn-lt"/>
              </a:rPr>
              <a:t>Daily Bodyweight Measurements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'BW Tracker'!$C$2:$C$8</c:f>
            </c:strRef>
          </c:tx>
          <c:spPr>
            <a:ln cmpd="sng" w="28575">
              <a:solidFill>
                <a:srgbClr val="89CFF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89CFF0">
                  <a:alpha val="100000"/>
                </a:srgbClr>
              </a:solidFill>
              <a:ln cmpd="sng">
                <a:solidFill>
                  <a:srgbClr val="89CFF0">
                    <a:alpha val="100000"/>
                  </a:srgbClr>
                </a:solidFill>
              </a:ln>
            </c:spPr>
          </c:marker>
          <c:trendline>
            <c:name/>
            <c:spPr>
              <a:ln w="19050">
                <a:solidFill>
                  <a:srgbClr val="050A0E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'BW Tracker'!$C$9:$C$366</c:f>
              <c:numCache/>
            </c:numRef>
          </c:val>
          <c:smooth val="0"/>
        </c:ser>
        <c:axId val="719511459"/>
        <c:axId val="104702410"/>
      </c:lineChart>
      <c:catAx>
        <c:axId val="719511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4702410"/>
      </c:catAx>
      <c:valAx>
        <c:axId val="104702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719511459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89CFF0"/>
                </a:solidFill>
                <a:latin typeface="+mn-lt"/>
              </a:defRPr>
            </a:pPr>
            <a:r>
              <a:rPr b="1" sz="2000">
                <a:solidFill>
                  <a:srgbClr val="89CFF0"/>
                </a:solidFill>
                <a:latin typeface="+mn-lt"/>
              </a:rPr>
              <a:t>Weekly Average Bodyweight Measurements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'BW Tracker'!$D$2</c:f>
            </c:strRef>
          </c:tx>
          <c:spPr>
            <a:ln cmpd="sng" w="28575">
              <a:solidFill>
                <a:srgbClr val="89CFF0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89CFF0">
                  <a:alpha val="100000"/>
                </a:srgbClr>
              </a:solidFill>
              <a:ln cmpd="sng">
                <a:solidFill>
                  <a:srgbClr val="89CFF0">
                    <a:alpha val="100000"/>
                  </a:srgbClr>
                </a:solidFill>
              </a:ln>
            </c:spPr>
          </c:marker>
          <c:trendline>
            <c:name/>
            <c:spPr>
              <a:ln w="19050">
                <a:solidFill>
                  <a:srgbClr val="050A0E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'BW Tracker'!$D$3:$D$366</c:f>
              <c:numCache/>
            </c:numRef>
          </c:val>
          <c:smooth val="0"/>
        </c:ser>
        <c:axId val="1590811158"/>
        <c:axId val="868783075"/>
      </c:lineChart>
      <c:catAx>
        <c:axId val="1590811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68783075"/>
      </c:catAx>
      <c:valAx>
        <c:axId val="868783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590811158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89CFF0"/>
                </a:solidFill>
                <a:latin typeface="+mn-lt"/>
              </a:defRPr>
            </a:pPr>
            <a:r>
              <a:rPr b="1" sz="2000">
                <a:solidFill>
                  <a:srgbClr val="89CFF0"/>
                </a:solidFill>
                <a:latin typeface="+mn-lt"/>
              </a:rPr>
              <a:t>Tape Measurements (cm)</a:t>
            </a:r>
          </a:p>
        </c:rich>
      </c:tx>
      <c:overlay val="0"/>
    </c:title>
    <c:plotArea>
      <c:layout/>
      <c:lineChart>
        <c:axId val="1846194880"/>
        <c:axId val="152292614"/>
      </c:lineChart>
      <c:catAx>
        <c:axId val="184619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52292614"/>
      </c:catAx>
      <c:valAx>
        <c:axId val="15229261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4619488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1</xdr:row>
      <xdr:rowOff>0</xdr:rowOff>
    </xdr:from>
    <xdr:ext cx="10687050" cy="6610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285750</xdr:colOff>
      <xdr:row>34</xdr:row>
      <xdr:rowOff>133350</xdr:rowOff>
    </xdr:from>
    <xdr:ext cx="10687050" cy="6610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1</xdr:row>
      <xdr:rowOff>104775</xdr:rowOff>
    </xdr:from>
    <xdr:ext cx="10258425" cy="6610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34</xdr:row>
      <xdr:rowOff>0</xdr:rowOff>
    </xdr:from>
    <xdr:ext cx="63817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8:I23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od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shane_mahon/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.13"/>
    <col customWidth="1" min="3" max="3" width="6.38"/>
    <col customWidth="1" min="4" max="4" width="11.38"/>
    <col customWidth="1" min="6" max="6" width="12.63"/>
    <col customWidth="1" min="7" max="13" width="6.38"/>
    <col customWidth="1" min="14" max="14" width="5.13"/>
    <col customWidth="1" min="15" max="29" width="12.63"/>
    <col customWidth="1" min="30" max="30" width="5.13"/>
  </cols>
  <sheetData>
    <row r="1" ht="22.5" customHeight="1">
      <c r="A1" s="1"/>
      <c r="B1" s="2"/>
      <c r="C1" s="2"/>
      <c r="D1" s="2"/>
      <c r="E1" s="2"/>
      <c r="F1" s="3"/>
      <c r="G1" s="4" t="s">
        <v>0</v>
      </c>
      <c r="H1" s="5"/>
      <c r="I1" s="5"/>
      <c r="J1" s="5"/>
      <c r="K1" s="5"/>
      <c r="L1" s="5"/>
      <c r="M1" s="5"/>
      <c r="N1" s="6"/>
      <c r="O1" s="2"/>
      <c r="P1" s="2"/>
      <c r="Q1" s="2"/>
      <c r="R1" s="2"/>
      <c r="S1" s="2"/>
      <c r="T1" s="2"/>
      <c r="U1" s="2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8" t="s">
        <v>1</v>
      </c>
      <c r="B2" s="9" t="s">
        <v>2</v>
      </c>
      <c r="C2" s="10"/>
      <c r="D2" s="11"/>
      <c r="E2" s="12" t="s">
        <v>3</v>
      </c>
      <c r="F2" s="11"/>
      <c r="G2" s="13"/>
      <c r="N2" s="14"/>
      <c r="O2" s="15" t="s">
        <v>4</v>
      </c>
      <c r="P2" s="10"/>
      <c r="Q2" s="10"/>
      <c r="R2" s="10"/>
      <c r="S2" s="10"/>
      <c r="T2" s="10"/>
      <c r="U2" s="11"/>
      <c r="V2" s="16"/>
      <c r="W2" s="7"/>
      <c r="X2" s="7"/>
      <c r="Y2" s="7"/>
      <c r="Z2" s="7"/>
      <c r="AA2" s="7"/>
      <c r="AB2" s="7"/>
      <c r="AC2" s="7"/>
      <c r="AD2" s="7"/>
      <c r="AE2" s="7"/>
    </row>
    <row r="3">
      <c r="A3" s="8" t="s">
        <v>1</v>
      </c>
      <c r="B3" s="9" t="s">
        <v>5</v>
      </c>
      <c r="C3" s="10"/>
      <c r="D3" s="11"/>
      <c r="E3" s="12"/>
      <c r="F3" s="11"/>
      <c r="G3" s="13"/>
      <c r="N3" s="14"/>
      <c r="O3" s="17"/>
      <c r="P3" s="18"/>
      <c r="Q3" s="19"/>
      <c r="R3" s="19"/>
      <c r="S3" s="19"/>
      <c r="T3" s="19"/>
      <c r="U3" s="20"/>
      <c r="V3" s="16"/>
      <c r="W3" s="7"/>
      <c r="X3" s="7"/>
      <c r="Y3" s="7"/>
      <c r="Z3" s="7"/>
      <c r="AA3" s="7"/>
      <c r="AB3" s="7"/>
      <c r="AC3" s="7"/>
      <c r="AD3" s="7"/>
      <c r="AE3" s="7"/>
    </row>
    <row r="4">
      <c r="A4" s="8" t="s">
        <v>1</v>
      </c>
      <c r="B4" s="9" t="s">
        <v>6</v>
      </c>
      <c r="C4" s="10"/>
      <c r="D4" s="11"/>
      <c r="E4" s="12"/>
      <c r="F4" s="11"/>
      <c r="G4" s="21"/>
      <c r="H4" s="22"/>
      <c r="I4" s="22"/>
      <c r="J4" s="22"/>
      <c r="K4" s="22"/>
      <c r="L4" s="22"/>
      <c r="M4" s="22"/>
      <c r="N4" s="23"/>
      <c r="O4" s="24"/>
      <c r="P4" s="25"/>
      <c r="Q4" s="26"/>
      <c r="R4" s="26"/>
      <c r="S4" s="26"/>
      <c r="T4" s="26"/>
      <c r="U4" s="27"/>
      <c r="V4" s="16"/>
      <c r="W4" s="7"/>
      <c r="X4" s="7"/>
      <c r="Y4" s="7"/>
      <c r="Z4" s="7"/>
      <c r="AA4" s="7"/>
      <c r="AB4" s="7"/>
      <c r="AC4" s="7"/>
      <c r="AD4" s="7"/>
      <c r="AE4" s="7"/>
    </row>
    <row r="5">
      <c r="A5" s="8" t="s">
        <v>1</v>
      </c>
      <c r="B5" s="9" t="s">
        <v>7</v>
      </c>
      <c r="C5" s="10"/>
      <c r="D5" s="11"/>
      <c r="E5" s="12">
        <v>66.5</v>
      </c>
      <c r="F5" s="11"/>
      <c r="G5" s="28"/>
      <c r="H5" s="29" t="s">
        <v>8</v>
      </c>
      <c r="I5" s="10"/>
      <c r="J5" s="10"/>
      <c r="K5" s="10"/>
      <c r="L5" s="10"/>
      <c r="M5" s="11"/>
      <c r="N5" s="30"/>
      <c r="O5" s="24"/>
      <c r="P5" s="31"/>
      <c r="Q5" s="26"/>
      <c r="R5" s="26"/>
      <c r="S5" s="26"/>
      <c r="T5" s="26"/>
      <c r="U5" s="27"/>
      <c r="V5" s="16"/>
      <c r="W5" s="7"/>
      <c r="X5" s="7"/>
      <c r="Y5" s="7"/>
      <c r="Z5" s="7"/>
      <c r="AA5" s="7"/>
      <c r="AB5" s="7"/>
      <c r="AC5" s="7"/>
      <c r="AD5" s="7"/>
      <c r="AE5" s="7"/>
    </row>
    <row r="6">
      <c r="A6" s="8" t="s">
        <v>1</v>
      </c>
      <c r="B6" s="9" t="s">
        <v>9</v>
      </c>
      <c r="C6" s="10"/>
      <c r="D6" s="11"/>
      <c r="E6" s="12">
        <f t="array" ref="E6">IFERROR(INDEX('BW Tracker'!Y:Y,MATCH(143^143,'BW Tracker'!Y:Y)),"")</f>
        <v>61.2</v>
      </c>
      <c r="F6" s="11"/>
      <c r="G6" s="32"/>
      <c r="H6" s="29" t="s">
        <v>10</v>
      </c>
      <c r="I6" s="11"/>
      <c r="J6" s="29" t="s">
        <v>11</v>
      </c>
      <c r="K6" s="11"/>
      <c r="L6" s="29" t="s">
        <v>12</v>
      </c>
      <c r="M6" s="11"/>
      <c r="N6" s="33"/>
      <c r="O6" s="24"/>
      <c r="P6" s="31"/>
      <c r="Q6" s="26"/>
      <c r="R6" s="26"/>
      <c r="S6" s="26"/>
      <c r="T6" s="26"/>
      <c r="U6" s="27"/>
      <c r="V6" s="16"/>
      <c r="W6" s="7"/>
      <c r="X6" s="7"/>
      <c r="Y6" s="7"/>
      <c r="Z6" s="7"/>
      <c r="AA6" s="7"/>
      <c r="AB6" s="7"/>
      <c r="AC6" s="7"/>
      <c r="AD6" s="7"/>
      <c r="AE6" s="7"/>
    </row>
    <row r="7">
      <c r="A7" s="34" t="s">
        <v>1</v>
      </c>
      <c r="B7" s="35"/>
      <c r="C7" s="35"/>
      <c r="D7" s="35"/>
      <c r="E7" s="36"/>
      <c r="F7" s="36"/>
      <c r="G7" s="33"/>
      <c r="H7" s="37" t="s">
        <v>13</v>
      </c>
      <c r="I7" s="38"/>
      <c r="J7" s="39">
        <v>1050.0</v>
      </c>
      <c r="K7" s="38"/>
      <c r="L7" s="39">
        <v>1050.0</v>
      </c>
      <c r="M7" s="38"/>
      <c r="N7" s="33"/>
      <c r="O7" s="24"/>
      <c r="P7" s="31"/>
      <c r="Q7" s="26"/>
      <c r="R7" s="26"/>
      <c r="S7" s="26"/>
      <c r="T7" s="26"/>
      <c r="U7" s="27"/>
      <c r="V7" s="16"/>
      <c r="W7" s="7"/>
      <c r="X7" s="7"/>
      <c r="Y7" s="7"/>
      <c r="Z7" s="7"/>
      <c r="AA7" s="7"/>
      <c r="AB7" s="7"/>
      <c r="AC7" s="7"/>
      <c r="AD7" s="7"/>
      <c r="AE7" s="7"/>
    </row>
    <row r="8">
      <c r="A8" s="8" t="s">
        <v>1</v>
      </c>
      <c r="B8" s="9" t="s">
        <v>14</v>
      </c>
      <c r="C8" s="10"/>
      <c r="D8" s="11"/>
      <c r="E8" s="40">
        <v>45698.0</v>
      </c>
      <c r="F8" s="11"/>
      <c r="G8" s="33"/>
      <c r="H8" s="41" t="s">
        <v>15</v>
      </c>
      <c r="I8" s="42"/>
      <c r="J8" s="43">
        <v>120.0</v>
      </c>
      <c r="K8" s="20"/>
      <c r="L8" s="43">
        <v>120.0</v>
      </c>
      <c r="M8" s="20"/>
      <c r="N8" s="33"/>
      <c r="O8" s="44"/>
      <c r="P8" s="45"/>
      <c r="Q8" s="26"/>
      <c r="R8" s="26"/>
      <c r="S8" s="26"/>
      <c r="T8" s="26"/>
      <c r="U8" s="27"/>
      <c r="V8" s="46"/>
      <c r="W8" s="7"/>
      <c r="X8" s="7"/>
      <c r="Y8" s="7"/>
      <c r="Z8" s="7"/>
      <c r="AA8" s="7"/>
      <c r="AB8" s="7"/>
      <c r="AC8" s="7"/>
      <c r="AD8" s="7"/>
      <c r="AE8" s="7"/>
    </row>
    <row r="9">
      <c r="A9" s="8" t="s">
        <v>1</v>
      </c>
      <c r="B9" s="9" t="s">
        <v>16</v>
      </c>
      <c r="C9" s="10"/>
      <c r="D9" s="11"/>
      <c r="E9" s="12">
        <f>IF(ISBLANK(E8),"",ROUNDUP((TODAY()-E8)/7,0))</f>
        <v>37</v>
      </c>
      <c r="F9" s="11"/>
      <c r="G9" s="33"/>
      <c r="H9" s="47" t="s">
        <v>17</v>
      </c>
      <c r="I9" s="27"/>
      <c r="J9" s="25"/>
      <c r="K9" s="27"/>
      <c r="L9" s="25"/>
      <c r="M9" s="27"/>
      <c r="N9" s="33"/>
      <c r="O9" s="48"/>
      <c r="P9" s="49"/>
      <c r="Q9" s="26"/>
      <c r="R9" s="26"/>
      <c r="S9" s="26"/>
      <c r="T9" s="26"/>
      <c r="U9" s="27"/>
      <c r="V9" s="50"/>
      <c r="W9" s="7"/>
      <c r="X9" s="51"/>
      <c r="Y9" s="51"/>
      <c r="Z9" s="51"/>
      <c r="AA9" s="51"/>
      <c r="AB9" s="51"/>
      <c r="AC9" s="51"/>
      <c r="AD9" s="51"/>
      <c r="AE9" s="51"/>
    </row>
    <row r="10">
      <c r="A10" s="8" t="s">
        <v>1</v>
      </c>
      <c r="B10" s="9" t="s">
        <v>18</v>
      </c>
      <c r="C10" s="10"/>
      <c r="D10" s="11"/>
      <c r="E10" s="12" t="s">
        <v>19</v>
      </c>
      <c r="F10" s="11"/>
      <c r="G10" s="33"/>
      <c r="H10" s="52" t="s">
        <v>20</v>
      </c>
      <c r="I10" s="53"/>
      <c r="J10" s="54"/>
      <c r="K10" s="53"/>
      <c r="L10" s="55"/>
      <c r="M10" s="53"/>
      <c r="N10" s="33"/>
      <c r="O10" s="48"/>
      <c r="P10" s="56"/>
      <c r="Q10" s="26"/>
      <c r="R10" s="26"/>
      <c r="S10" s="26"/>
      <c r="T10" s="26"/>
      <c r="U10" s="27"/>
      <c r="V10" s="57"/>
      <c r="W10" s="7"/>
      <c r="X10" s="58"/>
      <c r="Y10" s="58"/>
      <c r="Z10" s="58"/>
      <c r="AA10" s="58"/>
      <c r="AB10" s="58"/>
      <c r="AC10" s="58"/>
      <c r="AD10" s="58"/>
      <c r="AE10" s="58"/>
    </row>
    <row r="11">
      <c r="A11" s="8" t="s">
        <v>1</v>
      </c>
      <c r="B11" s="9" t="s">
        <v>21</v>
      </c>
      <c r="C11" s="10"/>
      <c r="D11" s="11"/>
      <c r="E11" s="59"/>
      <c r="F11" s="11"/>
      <c r="G11" s="33"/>
      <c r="H11" s="60" t="s">
        <v>22</v>
      </c>
      <c r="I11" s="11"/>
      <c r="J11" s="61" t="s">
        <v>23</v>
      </c>
      <c r="K11" s="10"/>
      <c r="L11" s="10"/>
      <c r="M11" s="11"/>
      <c r="N11" s="33"/>
      <c r="O11" s="48"/>
      <c r="P11" s="62"/>
      <c r="Q11" s="26"/>
      <c r="R11" s="26"/>
      <c r="S11" s="26"/>
      <c r="T11" s="26"/>
      <c r="U11" s="27"/>
      <c r="V11" s="63"/>
      <c r="W11" s="7"/>
      <c r="X11" s="64"/>
      <c r="Y11" s="64"/>
      <c r="Z11" s="64"/>
      <c r="AA11" s="64"/>
      <c r="AB11" s="64"/>
      <c r="AC11" s="64"/>
      <c r="AD11" s="64"/>
      <c r="AE11" s="65"/>
    </row>
    <row r="12">
      <c r="A12" s="8" t="s">
        <v>1</v>
      </c>
      <c r="B12" s="9" t="s">
        <v>24</v>
      </c>
      <c r="C12" s="10"/>
      <c r="D12" s="11"/>
      <c r="E12" s="12" t="str">
        <f>IF(ISBLANK(E11),"",IF(TRUNC((E11-TODAY())/7)=0,"",IF(TRUNC((E11-TODAY())/7)=1,TRUNC((E11-TODAY())/7)&amp;" week ",TRUNC((E11-TODAY())/7)&amp;" weeks ")))&amp;IF(ISBLANK(E11),"",IF(((E11-TODAY())-(TRUNC((E11-TODAY())/7)*7))=0,"",IF(((E11-TODAY())-(TRUNC((E11-TODAY())/7)*7))=1,((E11-TODAY())-(TRUNC((E11-TODAY())/7)*7))&amp;" day",((E11-TODAY())-(TRUNC((E11-TODAY())/7)*7))&amp;" days")))</f>
        <v/>
      </c>
      <c r="F12" s="11"/>
      <c r="G12" s="33"/>
      <c r="H12" s="60" t="s">
        <v>25</v>
      </c>
      <c r="I12" s="11"/>
      <c r="J12" s="66">
        <v>10000.0</v>
      </c>
      <c r="K12" s="10"/>
      <c r="L12" s="10"/>
      <c r="M12" s="11"/>
      <c r="N12" s="33"/>
      <c r="O12" s="48"/>
      <c r="P12" s="62"/>
      <c r="Q12" s="26"/>
      <c r="R12" s="26"/>
      <c r="S12" s="26"/>
      <c r="T12" s="26"/>
      <c r="U12" s="27"/>
      <c r="V12" s="63"/>
      <c r="W12" s="7"/>
      <c r="X12" s="64"/>
      <c r="Y12" s="64"/>
      <c r="Z12" s="64"/>
      <c r="AA12" s="64"/>
      <c r="AB12" s="64"/>
      <c r="AC12" s="64"/>
      <c r="AD12" s="64"/>
      <c r="AE12" s="65"/>
    </row>
    <row r="13">
      <c r="A13" s="34"/>
      <c r="B13" s="35"/>
      <c r="C13" s="35"/>
      <c r="D13" s="35"/>
      <c r="E13" s="35"/>
      <c r="F13" s="35"/>
      <c r="G13" s="67"/>
      <c r="H13" s="67"/>
      <c r="I13" s="67"/>
      <c r="J13" s="67"/>
      <c r="K13" s="67"/>
      <c r="L13" s="67"/>
      <c r="M13" s="67"/>
      <c r="N13" s="33"/>
      <c r="O13" s="48"/>
      <c r="P13" s="62"/>
      <c r="Q13" s="26"/>
      <c r="R13" s="26"/>
      <c r="S13" s="26"/>
      <c r="T13" s="26"/>
      <c r="U13" s="27"/>
      <c r="V13" s="63"/>
      <c r="W13" s="7"/>
      <c r="X13" s="64"/>
      <c r="Y13" s="64"/>
      <c r="Z13" s="64"/>
      <c r="AA13" s="64"/>
      <c r="AB13" s="64"/>
      <c r="AC13" s="64"/>
      <c r="AD13" s="64"/>
      <c r="AE13" s="65"/>
    </row>
    <row r="14">
      <c r="A14" s="8" t="s">
        <v>1</v>
      </c>
      <c r="B14" s="68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  <c r="N14" s="69"/>
      <c r="O14" s="24"/>
      <c r="P14" s="70"/>
      <c r="Q14" s="26"/>
      <c r="R14" s="26"/>
      <c r="S14" s="26"/>
      <c r="T14" s="26"/>
      <c r="U14" s="27"/>
      <c r="V14" s="57"/>
      <c r="W14" s="7"/>
      <c r="X14" s="58"/>
      <c r="Y14" s="58"/>
      <c r="Z14" s="58"/>
      <c r="AA14" s="58"/>
      <c r="AB14" s="58"/>
      <c r="AC14" s="58"/>
      <c r="AD14" s="58"/>
      <c r="AE14" s="58"/>
    </row>
    <row r="15">
      <c r="A15" s="8" t="s">
        <v>1</v>
      </c>
      <c r="B15" s="71">
        <v>1.0</v>
      </c>
      <c r="C15" s="72"/>
      <c r="D15" s="19"/>
      <c r="E15" s="19"/>
      <c r="F15" s="19"/>
      <c r="G15" s="19"/>
      <c r="H15" s="19"/>
      <c r="I15" s="19"/>
      <c r="J15" s="19"/>
      <c r="K15" s="19"/>
      <c r="L15" s="19"/>
      <c r="M15" s="20"/>
      <c r="N15" s="69"/>
      <c r="O15" s="73"/>
      <c r="P15" s="74"/>
      <c r="Q15" s="26"/>
      <c r="R15" s="26"/>
      <c r="S15" s="26"/>
      <c r="T15" s="26"/>
      <c r="U15" s="27"/>
      <c r="V15" s="63"/>
      <c r="W15" s="7"/>
      <c r="X15" s="64"/>
      <c r="Y15" s="64"/>
      <c r="Z15" s="64"/>
      <c r="AA15" s="64"/>
      <c r="AB15" s="64"/>
      <c r="AC15" s="64"/>
      <c r="AD15" s="64"/>
      <c r="AE15" s="65"/>
    </row>
    <row r="16">
      <c r="A16" s="8" t="s">
        <v>1</v>
      </c>
      <c r="B16" s="75">
        <v>2.0</v>
      </c>
      <c r="C16" s="76"/>
      <c r="D16" s="26"/>
      <c r="E16" s="26"/>
      <c r="F16" s="26"/>
      <c r="G16" s="26"/>
      <c r="H16" s="26"/>
      <c r="I16" s="26"/>
      <c r="J16" s="26"/>
      <c r="K16" s="26"/>
      <c r="L16" s="26"/>
      <c r="M16" s="27"/>
      <c r="N16" s="69"/>
      <c r="O16" s="73"/>
      <c r="P16" s="74"/>
      <c r="Q16" s="26"/>
      <c r="R16" s="26"/>
      <c r="S16" s="26"/>
      <c r="T16" s="26"/>
      <c r="U16" s="27"/>
      <c r="V16" s="63"/>
      <c r="W16" s="7"/>
      <c r="X16" s="64"/>
      <c r="Y16" s="64"/>
      <c r="Z16" s="64"/>
      <c r="AA16" s="64"/>
      <c r="AB16" s="64"/>
      <c r="AC16" s="64"/>
      <c r="AD16" s="64"/>
      <c r="AE16" s="65"/>
    </row>
    <row r="17">
      <c r="A17" s="8" t="s">
        <v>1</v>
      </c>
      <c r="B17" s="77">
        <v>3.0</v>
      </c>
      <c r="C17" s="78"/>
      <c r="D17" s="79"/>
      <c r="E17" s="79"/>
      <c r="F17" s="79"/>
      <c r="G17" s="79"/>
      <c r="H17" s="79"/>
      <c r="I17" s="79"/>
      <c r="J17" s="79"/>
      <c r="K17" s="79"/>
      <c r="L17" s="79"/>
      <c r="M17" s="53"/>
      <c r="N17" s="80"/>
      <c r="O17" s="73"/>
      <c r="P17" s="74"/>
      <c r="Q17" s="26"/>
      <c r="R17" s="26"/>
      <c r="S17" s="26"/>
      <c r="T17" s="26"/>
      <c r="U17" s="27"/>
      <c r="V17" s="63"/>
      <c r="W17" s="7"/>
      <c r="X17" s="64"/>
      <c r="Y17" s="64"/>
      <c r="Z17" s="64"/>
      <c r="AA17" s="64"/>
      <c r="AB17" s="64"/>
      <c r="AC17" s="64"/>
      <c r="AD17" s="64"/>
      <c r="AE17" s="65"/>
    </row>
    <row r="18">
      <c r="A18" s="34" t="s">
        <v>1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81"/>
      <c r="O18" s="82"/>
      <c r="P18" s="83"/>
      <c r="Q18" s="26"/>
      <c r="R18" s="26"/>
      <c r="S18" s="26"/>
      <c r="T18" s="26"/>
      <c r="U18" s="27"/>
      <c r="V18" s="57"/>
      <c r="W18" s="7"/>
      <c r="X18" s="58"/>
      <c r="Y18" s="58"/>
      <c r="Z18" s="58"/>
      <c r="AA18" s="58"/>
      <c r="AB18" s="58"/>
      <c r="AC18" s="58"/>
      <c r="AD18" s="58"/>
      <c r="AE18" s="58"/>
    </row>
    <row r="19">
      <c r="A19" s="8" t="s">
        <v>1</v>
      </c>
      <c r="B19" s="68" t="s">
        <v>27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84"/>
      <c r="O19" s="73"/>
      <c r="P19" s="74"/>
      <c r="Q19" s="26"/>
      <c r="R19" s="26"/>
      <c r="S19" s="26"/>
      <c r="T19" s="26"/>
      <c r="U19" s="27"/>
      <c r="V19" s="63"/>
      <c r="W19" s="7"/>
      <c r="X19" s="64"/>
      <c r="Y19" s="64"/>
      <c r="Z19" s="64"/>
      <c r="AA19" s="64"/>
      <c r="AB19" s="64"/>
      <c r="AC19" s="64"/>
      <c r="AD19" s="64"/>
      <c r="AE19" s="65"/>
    </row>
    <row r="20">
      <c r="A20" s="8" t="s">
        <v>1</v>
      </c>
      <c r="B20" s="71">
        <v>1.0</v>
      </c>
      <c r="C20" s="72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84"/>
      <c r="O20" s="73"/>
      <c r="P20" s="74"/>
      <c r="Q20" s="26"/>
      <c r="R20" s="26"/>
      <c r="S20" s="26"/>
      <c r="T20" s="26"/>
      <c r="U20" s="27"/>
      <c r="V20" s="63"/>
      <c r="W20" s="7"/>
      <c r="X20" s="64"/>
      <c r="Y20" s="64"/>
      <c r="Z20" s="64"/>
      <c r="AA20" s="64"/>
      <c r="AB20" s="64"/>
      <c r="AC20" s="64"/>
      <c r="AD20" s="64"/>
      <c r="AE20" s="65"/>
    </row>
    <row r="21">
      <c r="A21" s="8" t="s">
        <v>1</v>
      </c>
      <c r="B21" s="75">
        <v>2.0</v>
      </c>
      <c r="C21" s="76"/>
      <c r="D21" s="26"/>
      <c r="E21" s="26"/>
      <c r="F21" s="26"/>
      <c r="G21" s="26"/>
      <c r="H21" s="26"/>
      <c r="I21" s="26"/>
      <c r="J21" s="26"/>
      <c r="K21" s="26"/>
      <c r="L21" s="26"/>
      <c r="M21" s="27"/>
      <c r="N21" s="84"/>
      <c r="O21" s="73"/>
      <c r="P21" s="74"/>
      <c r="Q21" s="26"/>
      <c r="R21" s="26"/>
      <c r="S21" s="26"/>
      <c r="T21" s="26"/>
      <c r="U21" s="27"/>
      <c r="V21" s="63"/>
      <c r="W21" s="7"/>
      <c r="X21" s="64"/>
      <c r="Y21" s="64"/>
      <c r="Z21" s="64"/>
      <c r="AA21" s="64"/>
      <c r="AB21" s="64"/>
      <c r="AC21" s="64"/>
      <c r="AD21" s="64"/>
      <c r="AE21" s="65"/>
    </row>
    <row r="22">
      <c r="A22" s="8" t="s">
        <v>1</v>
      </c>
      <c r="B22" s="77">
        <v>3.0</v>
      </c>
      <c r="C22" s="78"/>
      <c r="D22" s="79"/>
      <c r="E22" s="79"/>
      <c r="F22" s="79"/>
      <c r="G22" s="79"/>
      <c r="H22" s="79"/>
      <c r="I22" s="79"/>
      <c r="J22" s="79"/>
      <c r="K22" s="79"/>
      <c r="L22" s="79"/>
      <c r="M22" s="53"/>
      <c r="N22" s="84"/>
      <c r="O22" s="82"/>
      <c r="P22" s="83"/>
      <c r="Q22" s="26"/>
      <c r="R22" s="26"/>
      <c r="S22" s="26"/>
      <c r="T22" s="26"/>
      <c r="U22" s="27"/>
      <c r="V22" s="57"/>
      <c r="W22" s="7"/>
      <c r="X22" s="58"/>
      <c r="Y22" s="58"/>
      <c r="Z22" s="58"/>
      <c r="AA22" s="58"/>
      <c r="AB22" s="58"/>
      <c r="AC22" s="58"/>
      <c r="AD22" s="58"/>
      <c r="AE22" s="58"/>
    </row>
    <row r="23">
      <c r="A23" s="34" t="s">
        <v>1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6"/>
      <c r="N23" s="81"/>
      <c r="O23" s="73"/>
      <c r="P23" s="74"/>
      <c r="Q23" s="26"/>
      <c r="R23" s="26"/>
      <c r="S23" s="26"/>
      <c r="T23" s="26"/>
      <c r="U23" s="27"/>
      <c r="V23" s="63"/>
      <c r="W23" s="7"/>
      <c r="X23" s="64"/>
      <c r="Y23" s="64"/>
      <c r="Z23" s="64"/>
      <c r="AA23" s="64"/>
      <c r="AB23" s="64"/>
      <c r="AC23" s="64"/>
      <c r="AD23" s="64"/>
      <c r="AE23" s="65"/>
    </row>
    <row r="24">
      <c r="A24" s="34" t="s">
        <v>1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1"/>
      <c r="O24" s="73"/>
      <c r="P24" s="74"/>
      <c r="Q24" s="26"/>
      <c r="R24" s="26"/>
      <c r="S24" s="26"/>
      <c r="T24" s="26"/>
      <c r="U24" s="27"/>
      <c r="V24" s="63"/>
      <c r="W24" s="7"/>
      <c r="X24" s="64"/>
      <c r="Y24" s="64"/>
      <c r="Z24" s="64"/>
      <c r="AA24" s="64"/>
      <c r="AB24" s="64"/>
      <c r="AC24" s="64"/>
      <c r="AD24" s="64"/>
      <c r="AE24" s="65"/>
    </row>
    <row r="25">
      <c r="A25" s="34" t="s">
        <v>1</v>
      </c>
      <c r="B25" s="87"/>
      <c r="C25" s="88"/>
      <c r="D25" s="88"/>
      <c r="E25" s="88"/>
      <c r="F25" s="88"/>
      <c r="G25" s="88"/>
      <c r="H25" s="88"/>
      <c r="I25" s="88"/>
      <c r="J25" s="88"/>
      <c r="K25" s="89"/>
      <c r="L25" s="89"/>
      <c r="M25" s="89"/>
      <c r="N25" s="81"/>
      <c r="O25" s="73"/>
      <c r="P25" s="74"/>
      <c r="Q25" s="26"/>
      <c r="R25" s="26"/>
      <c r="S25" s="26"/>
      <c r="T25" s="26"/>
      <c r="U25" s="27"/>
      <c r="V25" s="63"/>
      <c r="W25" s="7"/>
      <c r="X25" s="64"/>
      <c r="Y25" s="64"/>
      <c r="Z25" s="64"/>
      <c r="AA25" s="64"/>
      <c r="AB25" s="64"/>
      <c r="AC25" s="64"/>
      <c r="AD25" s="64"/>
      <c r="AE25" s="65"/>
    </row>
    <row r="26">
      <c r="A26" s="34" t="s">
        <v>1</v>
      </c>
      <c r="B26" s="87"/>
      <c r="C26" s="90"/>
      <c r="D26" s="90"/>
      <c r="E26" s="90"/>
      <c r="F26" s="90"/>
      <c r="G26" s="90"/>
      <c r="H26" s="90"/>
      <c r="I26" s="90"/>
      <c r="J26" s="90"/>
      <c r="K26" s="91"/>
      <c r="L26" s="91"/>
      <c r="M26" s="91"/>
      <c r="N26" s="81"/>
      <c r="O26" s="82"/>
      <c r="P26" s="83"/>
      <c r="Q26" s="26"/>
      <c r="R26" s="26"/>
      <c r="S26" s="26"/>
      <c r="T26" s="26"/>
      <c r="U26" s="27"/>
      <c r="V26" s="57"/>
      <c r="W26" s="7"/>
      <c r="X26" s="58"/>
      <c r="Y26" s="58"/>
      <c r="Z26" s="58"/>
      <c r="AA26" s="58"/>
      <c r="AB26" s="58"/>
      <c r="AC26" s="58"/>
      <c r="AD26" s="58"/>
      <c r="AE26" s="58"/>
    </row>
    <row r="27">
      <c r="A27" s="34" t="s">
        <v>1</v>
      </c>
      <c r="B27" s="87"/>
      <c r="C27" s="7"/>
      <c r="D27" s="7"/>
      <c r="E27" s="7"/>
      <c r="F27" s="7"/>
      <c r="G27" s="7"/>
      <c r="H27" s="7"/>
      <c r="I27" s="7"/>
      <c r="J27" s="7"/>
      <c r="K27" s="92"/>
      <c r="L27" s="92"/>
      <c r="M27" s="92"/>
      <c r="N27" s="81"/>
      <c r="O27" s="73"/>
      <c r="P27" s="74"/>
      <c r="Q27" s="26"/>
      <c r="R27" s="26"/>
      <c r="S27" s="26"/>
      <c r="T27" s="26"/>
      <c r="U27" s="27"/>
      <c r="V27" s="63"/>
      <c r="W27" s="7"/>
      <c r="X27" s="64"/>
      <c r="Y27" s="64"/>
      <c r="Z27" s="64"/>
      <c r="AA27" s="64"/>
      <c r="AB27" s="64"/>
      <c r="AC27" s="64"/>
      <c r="AD27" s="64"/>
      <c r="AE27" s="65"/>
    </row>
    <row r="28">
      <c r="A28" s="34" t="s">
        <v>1</v>
      </c>
      <c r="B28" s="87"/>
      <c r="C28" s="7"/>
      <c r="D28" s="7"/>
      <c r="E28" s="7"/>
      <c r="F28" s="7"/>
      <c r="G28" s="7"/>
      <c r="H28" s="7"/>
      <c r="I28" s="7"/>
      <c r="J28" s="7"/>
      <c r="K28" s="92"/>
      <c r="L28" s="92"/>
      <c r="M28" s="92"/>
      <c r="N28" s="33"/>
      <c r="O28" s="73"/>
      <c r="P28" s="74"/>
      <c r="Q28" s="26"/>
      <c r="R28" s="26"/>
      <c r="S28" s="26"/>
      <c r="T28" s="26"/>
      <c r="U28" s="27"/>
      <c r="V28" s="63"/>
      <c r="W28" s="7"/>
      <c r="X28" s="64"/>
      <c r="Y28" s="64"/>
      <c r="Z28" s="64"/>
      <c r="AA28" s="64"/>
      <c r="AB28" s="64"/>
      <c r="AC28" s="64"/>
      <c r="AD28" s="64"/>
      <c r="AE28" s="65"/>
    </row>
    <row r="29">
      <c r="A29" s="34" t="s">
        <v>1</v>
      </c>
      <c r="B29" s="87"/>
      <c r="C29" s="7"/>
      <c r="D29" s="7"/>
      <c r="E29" s="7"/>
      <c r="F29" s="7"/>
      <c r="G29" s="7"/>
      <c r="H29" s="7"/>
      <c r="I29" s="7"/>
      <c r="J29" s="7"/>
      <c r="K29" s="92"/>
      <c r="L29" s="92"/>
      <c r="M29" s="92"/>
      <c r="N29" s="33"/>
      <c r="O29" s="73"/>
      <c r="P29" s="74"/>
      <c r="Q29" s="26"/>
      <c r="R29" s="26"/>
      <c r="S29" s="26"/>
      <c r="T29" s="26"/>
      <c r="U29" s="27"/>
      <c r="V29" s="63"/>
      <c r="W29" s="7"/>
      <c r="X29" s="64"/>
      <c r="Y29" s="64"/>
      <c r="Z29" s="64"/>
      <c r="AA29" s="64"/>
      <c r="AB29" s="64"/>
      <c r="AC29" s="64"/>
      <c r="AD29" s="64"/>
      <c r="AE29" s="65"/>
    </row>
    <row r="30">
      <c r="A30" s="34" t="s">
        <v>1</v>
      </c>
      <c r="B30" s="87"/>
      <c r="C30" s="7"/>
      <c r="D30" s="7"/>
      <c r="E30" s="7"/>
      <c r="F30" s="7"/>
      <c r="G30" s="7"/>
      <c r="H30" s="7"/>
      <c r="I30" s="7"/>
      <c r="J30" s="7"/>
      <c r="K30" s="92"/>
      <c r="L30" s="92"/>
      <c r="M30" s="92"/>
      <c r="N30" s="33"/>
      <c r="O30" s="82"/>
      <c r="P30" s="83"/>
      <c r="Q30" s="26"/>
      <c r="R30" s="26"/>
      <c r="S30" s="26"/>
      <c r="T30" s="26"/>
      <c r="U30" s="27"/>
      <c r="V30" s="57"/>
      <c r="W30" s="7"/>
      <c r="X30" s="58"/>
      <c r="Y30" s="58"/>
      <c r="Z30" s="58"/>
      <c r="AA30" s="58"/>
      <c r="AB30" s="58"/>
      <c r="AC30" s="58"/>
      <c r="AD30" s="58"/>
      <c r="AE30" s="58"/>
    </row>
    <row r="31">
      <c r="A31" s="34" t="s">
        <v>1</v>
      </c>
      <c r="B31" s="87"/>
      <c r="C31" s="7"/>
      <c r="D31" s="7"/>
      <c r="E31" s="7"/>
      <c r="F31" s="7"/>
      <c r="G31" s="7"/>
      <c r="H31" s="7"/>
      <c r="I31" s="7"/>
      <c r="J31" s="7"/>
      <c r="K31" s="92"/>
      <c r="L31" s="92"/>
      <c r="M31" s="92"/>
      <c r="N31" s="33"/>
      <c r="O31" s="73"/>
      <c r="P31" s="74"/>
      <c r="Q31" s="26"/>
      <c r="R31" s="26"/>
      <c r="S31" s="26"/>
      <c r="T31" s="26"/>
      <c r="U31" s="27"/>
      <c r="V31" s="63"/>
      <c r="W31" s="7"/>
      <c r="X31" s="64"/>
      <c r="Y31" s="64"/>
      <c r="Z31" s="64"/>
      <c r="AA31" s="64"/>
      <c r="AB31" s="64"/>
      <c r="AC31" s="64"/>
      <c r="AD31" s="64"/>
      <c r="AE31" s="65"/>
    </row>
    <row r="32">
      <c r="A32" s="34" t="s">
        <v>1</v>
      </c>
      <c r="B32" s="87"/>
      <c r="C32" s="7"/>
      <c r="D32" s="7"/>
      <c r="E32" s="7"/>
      <c r="F32" s="7"/>
      <c r="G32" s="7"/>
      <c r="H32" s="7"/>
      <c r="I32" s="7"/>
      <c r="J32" s="7"/>
      <c r="K32" s="92"/>
      <c r="L32" s="92"/>
      <c r="M32" s="92"/>
      <c r="N32" s="33"/>
      <c r="O32" s="73"/>
      <c r="P32" s="74"/>
      <c r="Q32" s="26"/>
      <c r="R32" s="26"/>
      <c r="S32" s="26"/>
      <c r="T32" s="26"/>
      <c r="U32" s="27"/>
      <c r="V32" s="63"/>
      <c r="W32" s="7"/>
      <c r="X32" s="64"/>
      <c r="Y32" s="64"/>
      <c r="Z32" s="64"/>
      <c r="AA32" s="64"/>
      <c r="AB32" s="64"/>
      <c r="AC32" s="64"/>
      <c r="AD32" s="64"/>
      <c r="AE32" s="65"/>
    </row>
    <row r="33">
      <c r="A33" s="34" t="s">
        <v>1</v>
      </c>
      <c r="B33" s="87"/>
      <c r="C33" s="7"/>
      <c r="D33" s="7"/>
      <c r="E33" s="7"/>
      <c r="F33" s="7"/>
      <c r="G33" s="7"/>
      <c r="H33" s="7"/>
      <c r="I33" s="7"/>
      <c r="J33" s="7"/>
      <c r="K33" s="92"/>
      <c r="L33" s="92"/>
      <c r="M33" s="92"/>
      <c r="N33" s="33"/>
      <c r="O33" s="73"/>
      <c r="P33" s="74"/>
      <c r="Q33" s="26"/>
      <c r="R33" s="26"/>
      <c r="S33" s="26"/>
      <c r="T33" s="26"/>
      <c r="U33" s="27"/>
      <c r="V33" s="63"/>
      <c r="W33" s="7"/>
      <c r="X33" s="64"/>
      <c r="Y33" s="64"/>
      <c r="Z33" s="64"/>
      <c r="AA33" s="64"/>
      <c r="AB33" s="64"/>
      <c r="AC33" s="64"/>
      <c r="AD33" s="64"/>
      <c r="AE33" s="65"/>
    </row>
    <row r="34">
      <c r="A34" s="34" t="s">
        <v>1</v>
      </c>
      <c r="B34" s="87"/>
      <c r="C34" s="7"/>
      <c r="D34" s="7"/>
      <c r="E34" s="7"/>
      <c r="F34" s="7"/>
      <c r="G34" s="7"/>
      <c r="H34" s="7"/>
      <c r="I34" s="7"/>
      <c r="J34" s="7"/>
      <c r="K34" s="92"/>
      <c r="L34" s="92"/>
      <c r="M34" s="92"/>
      <c r="N34" s="33"/>
      <c r="O34" s="82"/>
      <c r="P34" s="83"/>
      <c r="Q34" s="26"/>
      <c r="R34" s="26"/>
      <c r="S34" s="26"/>
      <c r="T34" s="26"/>
      <c r="U34" s="27"/>
      <c r="V34" s="57"/>
      <c r="W34" s="7"/>
      <c r="X34" s="58"/>
      <c r="Y34" s="58"/>
      <c r="Z34" s="58"/>
      <c r="AA34" s="58"/>
      <c r="AB34" s="58"/>
      <c r="AC34" s="58"/>
      <c r="AD34" s="58"/>
      <c r="AE34" s="58"/>
    </row>
    <row r="35">
      <c r="A35" s="34" t="s">
        <v>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33"/>
      <c r="O35" s="73"/>
      <c r="P35" s="74"/>
      <c r="Q35" s="26"/>
      <c r="R35" s="26"/>
      <c r="S35" s="26"/>
      <c r="T35" s="26"/>
      <c r="U35" s="27"/>
      <c r="V35" s="63"/>
      <c r="W35" s="7"/>
      <c r="X35" s="64"/>
      <c r="Y35" s="64"/>
      <c r="Z35" s="64"/>
      <c r="AA35" s="64"/>
      <c r="AB35" s="64"/>
      <c r="AC35" s="64"/>
      <c r="AD35" s="64"/>
      <c r="AE35" s="65"/>
    </row>
    <row r="36">
      <c r="A36" s="34" t="s">
        <v>1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33"/>
      <c r="O36" s="73"/>
      <c r="P36" s="74"/>
      <c r="Q36" s="26"/>
      <c r="R36" s="26"/>
      <c r="S36" s="26"/>
      <c r="T36" s="26"/>
      <c r="U36" s="27"/>
      <c r="V36" s="63"/>
      <c r="W36" s="7"/>
      <c r="X36" s="64"/>
      <c r="Y36" s="64"/>
      <c r="Z36" s="64"/>
      <c r="AA36" s="64"/>
      <c r="AB36" s="64"/>
      <c r="AC36" s="64"/>
      <c r="AD36" s="64"/>
      <c r="AE36" s="65"/>
    </row>
    <row r="37">
      <c r="A37" s="34" t="s">
        <v>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33"/>
      <c r="O37" s="73"/>
      <c r="P37" s="74"/>
      <c r="Q37" s="26"/>
      <c r="R37" s="26"/>
      <c r="S37" s="26"/>
      <c r="T37" s="26"/>
      <c r="U37" s="27"/>
      <c r="V37" s="63"/>
      <c r="W37" s="7"/>
      <c r="X37" s="64"/>
      <c r="Y37" s="64"/>
      <c r="Z37" s="64"/>
      <c r="AA37" s="64"/>
      <c r="AB37" s="64"/>
      <c r="AC37" s="64"/>
      <c r="AD37" s="64"/>
      <c r="AE37" s="65"/>
    </row>
    <row r="38">
      <c r="A38" s="34" t="s">
        <v>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33"/>
      <c r="O38" s="82"/>
      <c r="P38" s="83"/>
      <c r="Q38" s="26"/>
      <c r="R38" s="26"/>
      <c r="S38" s="26"/>
      <c r="T38" s="26"/>
      <c r="U38" s="27"/>
      <c r="V38" s="5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34" t="s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33"/>
      <c r="O39" s="73"/>
      <c r="P39" s="74"/>
      <c r="Q39" s="26"/>
      <c r="R39" s="26"/>
      <c r="S39" s="26"/>
      <c r="T39" s="26"/>
      <c r="U39" s="27"/>
      <c r="V39" s="63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34" t="s">
        <v>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33"/>
      <c r="O40" s="73"/>
      <c r="P40" s="74"/>
      <c r="Q40" s="26"/>
      <c r="R40" s="26"/>
      <c r="S40" s="26"/>
      <c r="T40" s="26"/>
      <c r="U40" s="27"/>
      <c r="V40" s="63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34" t="s">
        <v>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33"/>
      <c r="O41" s="73"/>
      <c r="P41" s="74"/>
      <c r="Q41" s="26"/>
      <c r="R41" s="26"/>
      <c r="S41" s="26"/>
      <c r="T41" s="26"/>
      <c r="U41" s="27"/>
      <c r="V41" s="63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34" t="s">
        <v>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33"/>
      <c r="O42" s="82"/>
      <c r="P42" s="83"/>
      <c r="Q42" s="26"/>
      <c r="R42" s="26"/>
      <c r="S42" s="26"/>
      <c r="T42" s="26"/>
      <c r="U42" s="27"/>
      <c r="V42" s="5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34" t="s">
        <v>1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33"/>
      <c r="O43" s="73"/>
      <c r="P43" s="74"/>
      <c r="Q43" s="26"/>
      <c r="R43" s="26"/>
      <c r="S43" s="26"/>
      <c r="T43" s="26"/>
      <c r="U43" s="27"/>
      <c r="V43" s="63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34" t="s">
        <v>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33"/>
      <c r="O44" s="73"/>
      <c r="P44" s="74"/>
      <c r="Q44" s="26"/>
      <c r="R44" s="26"/>
      <c r="S44" s="26"/>
      <c r="T44" s="26"/>
      <c r="U44" s="27"/>
      <c r="V44" s="63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34" t="s">
        <v>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33"/>
      <c r="O45" s="73"/>
      <c r="P45" s="74"/>
      <c r="Q45" s="26"/>
      <c r="R45" s="26"/>
      <c r="S45" s="26"/>
      <c r="T45" s="26"/>
      <c r="U45" s="27"/>
      <c r="V45" s="63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34" t="s">
        <v>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33"/>
      <c r="O46" s="44"/>
      <c r="P46" s="45"/>
      <c r="Q46" s="26"/>
      <c r="R46" s="26"/>
      <c r="S46" s="26"/>
      <c r="T46" s="26"/>
      <c r="U46" s="27"/>
      <c r="V46" s="46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34" t="s">
        <v>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3"/>
      <c r="O47" s="44"/>
      <c r="P47" s="45"/>
      <c r="Q47" s="26"/>
      <c r="R47" s="26"/>
      <c r="S47" s="26"/>
      <c r="T47" s="26"/>
      <c r="U47" s="27"/>
      <c r="V47" s="46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34" t="s">
        <v>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33"/>
      <c r="O48" s="44"/>
      <c r="P48" s="45"/>
      <c r="Q48" s="26"/>
      <c r="R48" s="26"/>
      <c r="S48" s="26"/>
      <c r="T48" s="26"/>
      <c r="U48" s="27"/>
      <c r="V48" s="46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34" t="s">
        <v>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33"/>
      <c r="O49" s="44"/>
      <c r="P49" s="45"/>
      <c r="Q49" s="26"/>
      <c r="R49" s="26"/>
      <c r="S49" s="26"/>
      <c r="T49" s="26"/>
      <c r="U49" s="27"/>
      <c r="V49" s="46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34" t="s">
        <v>1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33"/>
      <c r="O50" s="44"/>
      <c r="P50" s="45"/>
      <c r="Q50" s="26"/>
      <c r="R50" s="26"/>
      <c r="S50" s="26"/>
      <c r="T50" s="26"/>
      <c r="U50" s="27"/>
      <c r="V50" s="46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34" t="s">
        <v>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33"/>
      <c r="O51" s="44"/>
      <c r="P51" s="45"/>
      <c r="Q51" s="26"/>
      <c r="R51" s="26"/>
      <c r="S51" s="26"/>
      <c r="T51" s="26"/>
      <c r="U51" s="27"/>
      <c r="V51" s="46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34" t="s">
        <v>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33"/>
      <c r="O52" s="44"/>
      <c r="P52" s="45"/>
      <c r="Q52" s="26"/>
      <c r="R52" s="26"/>
      <c r="S52" s="26"/>
      <c r="T52" s="26"/>
      <c r="U52" s="27"/>
      <c r="V52" s="46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34" t="s">
        <v>1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33"/>
      <c r="O53" s="44"/>
      <c r="P53" s="45"/>
      <c r="Q53" s="26"/>
      <c r="R53" s="26"/>
      <c r="S53" s="26"/>
      <c r="T53" s="26"/>
      <c r="U53" s="27"/>
      <c r="V53" s="46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34" t="s">
        <v>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33"/>
      <c r="O54" s="44"/>
      <c r="P54" s="45"/>
      <c r="Q54" s="26"/>
      <c r="R54" s="26"/>
      <c r="S54" s="26"/>
      <c r="T54" s="26"/>
      <c r="U54" s="27"/>
      <c r="V54" s="46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34" t="s">
        <v>1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33"/>
      <c r="O55" s="44"/>
      <c r="P55" s="45"/>
      <c r="Q55" s="26"/>
      <c r="R55" s="26"/>
      <c r="S55" s="26"/>
      <c r="T55" s="26"/>
      <c r="U55" s="27"/>
      <c r="V55" s="46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34" t="s">
        <v>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33"/>
      <c r="O56" s="44"/>
      <c r="P56" s="45"/>
      <c r="Q56" s="26"/>
      <c r="R56" s="26"/>
      <c r="S56" s="26"/>
      <c r="T56" s="26"/>
      <c r="U56" s="27"/>
      <c r="V56" s="46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33"/>
      <c r="O57" s="44"/>
      <c r="P57" s="45"/>
      <c r="Q57" s="26"/>
      <c r="R57" s="26"/>
      <c r="S57" s="26"/>
      <c r="T57" s="26"/>
      <c r="U57" s="27"/>
      <c r="V57" s="46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33"/>
      <c r="O58" s="44"/>
      <c r="P58" s="45"/>
      <c r="Q58" s="26"/>
      <c r="R58" s="26"/>
      <c r="S58" s="26"/>
      <c r="T58" s="26"/>
      <c r="U58" s="27"/>
      <c r="V58" s="46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33"/>
      <c r="O59" s="44"/>
      <c r="P59" s="45"/>
      <c r="Q59" s="26"/>
      <c r="R59" s="26"/>
      <c r="S59" s="26"/>
      <c r="T59" s="26"/>
      <c r="U59" s="27"/>
      <c r="V59" s="46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33"/>
      <c r="O60" s="44"/>
      <c r="P60" s="45"/>
      <c r="Q60" s="26"/>
      <c r="R60" s="26"/>
      <c r="S60" s="26"/>
      <c r="T60" s="26"/>
      <c r="U60" s="27"/>
      <c r="V60" s="46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33"/>
      <c r="O61" s="44"/>
      <c r="P61" s="45"/>
      <c r="Q61" s="26"/>
      <c r="R61" s="26"/>
      <c r="S61" s="26"/>
      <c r="T61" s="26"/>
      <c r="U61" s="27"/>
      <c r="V61" s="46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33"/>
      <c r="O62" s="93"/>
      <c r="P62" s="94"/>
      <c r="Q62" s="79"/>
      <c r="R62" s="79"/>
      <c r="S62" s="79"/>
      <c r="T62" s="79"/>
      <c r="U62" s="53"/>
      <c r="V62" s="46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95"/>
      <c r="P63" s="95"/>
      <c r="Q63" s="95"/>
      <c r="R63" s="95"/>
      <c r="S63" s="95"/>
      <c r="T63" s="95"/>
      <c r="U63" s="95"/>
      <c r="V63" s="96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96"/>
      <c r="P64" s="96"/>
      <c r="Q64" s="96"/>
      <c r="R64" s="96"/>
      <c r="S64" s="96"/>
      <c r="T64" s="96"/>
      <c r="U64" s="96"/>
      <c r="V64" s="96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96"/>
      <c r="P65" s="96"/>
      <c r="Q65" s="96"/>
      <c r="R65" s="96"/>
      <c r="S65" s="96"/>
      <c r="T65" s="96"/>
      <c r="U65" s="96"/>
      <c r="V65" s="96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96"/>
      <c r="P66" s="96"/>
      <c r="Q66" s="96"/>
      <c r="R66" s="96"/>
      <c r="S66" s="96"/>
      <c r="T66" s="96"/>
      <c r="U66" s="96"/>
      <c r="V66" s="96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96"/>
      <c r="P67" s="96"/>
      <c r="Q67" s="96"/>
      <c r="R67" s="96"/>
      <c r="S67" s="96"/>
      <c r="T67" s="96"/>
      <c r="U67" s="96"/>
      <c r="V67" s="96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96"/>
      <c r="P68" s="96"/>
      <c r="Q68" s="96"/>
      <c r="R68" s="96"/>
      <c r="S68" s="96"/>
      <c r="T68" s="96"/>
      <c r="U68" s="96"/>
      <c r="V68" s="96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96"/>
      <c r="P69" s="96"/>
      <c r="Q69" s="96"/>
      <c r="R69" s="96"/>
      <c r="S69" s="96"/>
      <c r="T69" s="96"/>
      <c r="U69" s="96"/>
      <c r="V69" s="96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96"/>
      <c r="P70" s="96"/>
      <c r="Q70" s="96"/>
      <c r="R70" s="96"/>
      <c r="S70" s="96"/>
      <c r="T70" s="96"/>
      <c r="U70" s="96"/>
      <c r="V70" s="96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96"/>
      <c r="P71" s="96"/>
      <c r="Q71" s="96"/>
      <c r="R71" s="96"/>
      <c r="S71" s="96"/>
      <c r="T71" s="96"/>
      <c r="U71" s="96"/>
      <c r="V71" s="96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96"/>
      <c r="P72" s="96"/>
      <c r="Q72" s="96"/>
      <c r="R72" s="96"/>
      <c r="S72" s="96"/>
      <c r="T72" s="96"/>
      <c r="U72" s="96"/>
      <c r="V72" s="96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96"/>
      <c r="P73" s="96"/>
      <c r="Q73" s="96"/>
      <c r="R73" s="96"/>
      <c r="S73" s="96"/>
      <c r="T73" s="96"/>
      <c r="U73" s="96"/>
      <c r="V73" s="96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96"/>
      <c r="P74" s="96"/>
      <c r="Q74" s="96"/>
      <c r="R74" s="96"/>
      <c r="S74" s="96"/>
      <c r="T74" s="96"/>
      <c r="U74" s="96"/>
      <c r="V74" s="96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96"/>
      <c r="P75" s="96"/>
      <c r="Q75" s="96"/>
      <c r="R75" s="96"/>
      <c r="S75" s="96"/>
      <c r="T75" s="96"/>
      <c r="U75" s="96"/>
      <c r="V75" s="96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96"/>
      <c r="P76" s="96"/>
      <c r="Q76" s="96"/>
      <c r="R76" s="96"/>
      <c r="S76" s="96"/>
      <c r="T76" s="96"/>
      <c r="U76" s="96"/>
      <c r="V76" s="96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96"/>
      <c r="P77" s="96"/>
      <c r="Q77" s="96"/>
      <c r="R77" s="96"/>
      <c r="S77" s="96"/>
      <c r="T77" s="96"/>
      <c r="U77" s="96"/>
      <c r="V77" s="96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96"/>
      <c r="P78" s="96"/>
      <c r="Q78" s="96"/>
      <c r="R78" s="96"/>
      <c r="S78" s="96"/>
      <c r="T78" s="96"/>
      <c r="U78" s="96"/>
      <c r="V78" s="96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96"/>
      <c r="P79" s="96"/>
      <c r="Q79" s="96"/>
      <c r="R79" s="96"/>
      <c r="S79" s="96"/>
      <c r="T79" s="96"/>
      <c r="U79" s="96"/>
      <c r="V79" s="96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96"/>
      <c r="P80" s="96"/>
      <c r="Q80" s="96"/>
      <c r="R80" s="96"/>
      <c r="S80" s="96"/>
      <c r="T80" s="96"/>
      <c r="U80" s="96"/>
      <c r="V80" s="96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96"/>
      <c r="P81" s="96"/>
      <c r="Q81" s="96"/>
      <c r="R81" s="96"/>
      <c r="S81" s="96"/>
      <c r="T81" s="96"/>
      <c r="U81" s="96"/>
      <c r="V81" s="96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96"/>
      <c r="P82" s="96"/>
      <c r="Q82" s="96"/>
      <c r="R82" s="96"/>
      <c r="S82" s="96"/>
      <c r="T82" s="96"/>
      <c r="U82" s="96"/>
      <c r="V82" s="96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96"/>
      <c r="P83" s="96"/>
      <c r="Q83" s="96"/>
      <c r="R83" s="96"/>
      <c r="S83" s="96"/>
      <c r="T83" s="96"/>
      <c r="U83" s="96"/>
      <c r="V83" s="96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96"/>
      <c r="P84" s="96"/>
      <c r="Q84" s="96"/>
      <c r="R84" s="96"/>
      <c r="S84" s="96"/>
      <c r="T84" s="96"/>
      <c r="U84" s="96"/>
      <c r="V84" s="96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96"/>
      <c r="P85" s="96"/>
      <c r="Q85" s="96"/>
      <c r="R85" s="96"/>
      <c r="S85" s="96"/>
      <c r="T85" s="96"/>
      <c r="U85" s="96"/>
      <c r="V85" s="96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96"/>
      <c r="P86" s="96"/>
      <c r="Q86" s="96"/>
      <c r="R86" s="96"/>
      <c r="S86" s="96"/>
      <c r="T86" s="96"/>
      <c r="U86" s="96"/>
      <c r="V86" s="96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96"/>
      <c r="P87" s="96"/>
      <c r="Q87" s="96"/>
      <c r="R87" s="96"/>
      <c r="S87" s="96"/>
      <c r="T87" s="96"/>
      <c r="U87" s="96"/>
      <c r="V87" s="96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96"/>
      <c r="P88" s="96"/>
      <c r="Q88" s="96"/>
      <c r="R88" s="96"/>
      <c r="S88" s="96"/>
      <c r="T88" s="96"/>
      <c r="U88" s="96"/>
      <c r="V88" s="96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96"/>
      <c r="P89" s="96"/>
      <c r="Q89" s="96"/>
      <c r="R89" s="96"/>
      <c r="S89" s="96"/>
      <c r="T89" s="96"/>
      <c r="U89" s="96"/>
      <c r="V89" s="96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96"/>
      <c r="P90" s="96"/>
      <c r="Q90" s="96"/>
      <c r="R90" s="96"/>
      <c r="S90" s="96"/>
      <c r="T90" s="96"/>
      <c r="U90" s="96"/>
      <c r="V90" s="96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96"/>
      <c r="P91" s="96"/>
      <c r="Q91" s="96"/>
      <c r="R91" s="96"/>
      <c r="S91" s="96"/>
      <c r="T91" s="96"/>
      <c r="U91" s="96"/>
      <c r="V91" s="96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96"/>
      <c r="P92" s="96"/>
      <c r="Q92" s="96"/>
      <c r="R92" s="96"/>
      <c r="S92" s="96"/>
      <c r="T92" s="96"/>
      <c r="U92" s="96"/>
      <c r="V92" s="96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96"/>
      <c r="P93" s="96"/>
      <c r="Q93" s="96"/>
      <c r="R93" s="96"/>
      <c r="S93" s="96"/>
      <c r="T93" s="96"/>
      <c r="U93" s="96"/>
      <c r="V93" s="96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96"/>
      <c r="P94" s="96"/>
      <c r="Q94" s="96"/>
      <c r="R94" s="96"/>
      <c r="S94" s="96"/>
      <c r="T94" s="96"/>
      <c r="U94" s="96"/>
      <c r="V94" s="96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96"/>
      <c r="P95" s="96"/>
      <c r="Q95" s="96"/>
      <c r="R95" s="96"/>
      <c r="S95" s="96"/>
      <c r="T95" s="96"/>
      <c r="U95" s="96"/>
      <c r="V95" s="96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96"/>
      <c r="P96" s="96"/>
      <c r="Q96" s="96"/>
      <c r="R96" s="96"/>
      <c r="S96" s="96"/>
      <c r="T96" s="96"/>
      <c r="U96" s="96"/>
      <c r="V96" s="96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96"/>
      <c r="P97" s="96"/>
      <c r="Q97" s="96"/>
      <c r="R97" s="96"/>
      <c r="S97" s="96"/>
      <c r="T97" s="96"/>
      <c r="U97" s="96"/>
      <c r="V97" s="96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96"/>
      <c r="P98" s="96"/>
      <c r="Q98" s="96"/>
      <c r="R98" s="96"/>
      <c r="S98" s="96"/>
      <c r="T98" s="96"/>
      <c r="U98" s="96"/>
      <c r="V98" s="96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96"/>
      <c r="P99" s="96"/>
      <c r="Q99" s="96"/>
      <c r="R99" s="96"/>
      <c r="S99" s="96"/>
      <c r="T99" s="96"/>
      <c r="U99" s="96"/>
      <c r="V99" s="96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96"/>
      <c r="P100" s="96"/>
      <c r="Q100" s="96"/>
      <c r="R100" s="96"/>
      <c r="S100" s="96"/>
      <c r="T100" s="96"/>
      <c r="U100" s="96"/>
      <c r="V100" s="96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96"/>
      <c r="P101" s="96"/>
      <c r="Q101" s="96"/>
      <c r="R101" s="96"/>
      <c r="S101" s="96"/>
      <c r="T101" s="96"/>
      <c r="U101" s="96"/>
      <c r="V101" s="96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96"/>
      <c r="P102" s="96"/>
      <c r="Q102" s="96"/>
      <c r="R102" s="96"/>
      <c r="S102" s="96"/>
      <c r="T102" s="96"/>
      <c r="U102" s="96"/>
      <c r="V102" s="96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96"/>
      <c r="P103" s="96"/>
      <c r="Q103" s="96"/>
      <c r="R103" s="96"/>
      <c r="S103" s="96"/>
      <c r="T103" s="96"/>
      <c r="U103" s="96"/>
      <c r="V103" s="96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96"/>
      <c r="P104" s="96"/>
      <c r="Q104" s="96"/>
      <c r="R104" s="96"/>
      <c r="S104" s="96"/>
      <c r="T104" s="96"/>
      <c r="U104" s="96"/>
      <c r="V104" s="96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96"/>
      <c r="P105" s="96"/>
      <c r="Q105" s="96"/>
      <c r="R105" s="96"/>
      <c r="S105" s="96"/>
      <c r="T105" s="96"/>
      <c r="U105" s="96"/>
      <c r="V105" s="96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96"/>
      <c r="P106" s="96"/>
      <c r="Q106" s="96"/>
      <c r="R106" s="96"/>
      <c r="S106" s="96"/>
      <c r="T106" s="96"/>
      <c r="U106" s="96"/>
      <c r="V106" s="96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96"/>
      <c r="P107" s="96"/>
      <c r="Q107" s="96"/>
      <c r="R107" s="96"/>
      <c r="S107" s="96"/>
      <c r="T107" s="96"/>
      <c r="U107" s="96"/>
      <c r="V107" s="96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96"/>
      <c r="P108" s="96"/>
      <c r="Q108" s="96"/>
      <c r="R108" s="96"/>
      <c r="S108" s="96"/>
      <c r="T108" s="96"/>
      <c r="U108" s="96"/>
      <c r="V108" s="96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96"/>
      <c r="P109" s="96"/>
      <c r="Q109" s="96"/>
      <c r="R109" s="96"/>
      <c r="S109" s="96"/>
      <c r="T109" s="96"/>
      <c r="U109" s="96"/>
      <c r="V109" s="96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96"/>
      <c r="P110" s="96"/>
      <c r="Q110" s="96"/>
      <c r="R110" s="96"/>
      <c r="S110" s="96"/>
      <c r="T110" s="96"/>
      <c r="U110" s="96"/>
      <c r="V110" s="96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96"/>
      <c r="P111" s="96"/>
      <c r="Q111" s="96"/>
      <c r="R111" s="96"/>
      <c r="S111" s="96"/>
      <c r="T111" s="96"/>
      <c r="U111" s="96"/>
      <c r="V111" s="96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96"/>
      <c r="P112" s="96"/>
      <c r="Q112" s="96"/>
      <c r="R112" s="96"/>
      <c r="S112" s="96"/>
      <c r="T112" s="96"/>
      <c r="U112" s="96"/>
      <c r="V112" s="96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96"/>
      <c r="P113" s="96"/>
      <c r="Q113" s="96"/>
      <c r="R113" s="96"/>
      <c r="S113" s="96"/>
      <c r="T113" s="96"/>
      <c r="U113" s="96"/>
      <c r="V113" s="96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96"/>
      <c r="P114" s="96"/>
      <c r="Q114" s="96"/>
      <c r="R114" s="96"/>
      <c r="S114" s="96"/>
      <c r="T114" s="96"/>
      <c r="U114" s="96"/>
      <c r="V114" s="96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96"/>
      <c r="P115" s="96"/>
      <c r="Q115" s="96"/>
      <c r="R115" s="96"/>
      <c r="S115" s="96"/>
      <c r="T115" s="96"/>
      <c r="U115" s="96"/>
      <c r="V115" s="96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96"/>
      <c r="P116" s="96"/>
      <c r="Q116" s="96"/>
      <c r="R116" s="96"/>
      <c r="S116" s="96"/>
      <c r="T116" s="96"/>
      <c r="U116" s="96"/>
      <c r="V116" s="96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96"/>
      <c r="P117" s="96"/>
      <c r="Q117" s="96"/>
      <c r="R117" s="96"/>
      <c r="S117" s="96"/>
      <c r="T117" s="96"/>
      <c r="U117" s="96"/>
      <c r="V117" s="96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96"/>
      <c r="P118" s="96"/>
      <c r="Q118" s="96"/>
      <c r="R118" s="96"/>
      <c r="S118" s="96"/>
      <c r="T118" s="96"/>
      <c r="U118" s="96"/>
      <c r="V118" s="96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96"/>
      <c r="P119" s="96"/>
      <c r="Q119" s="96"/>
      <c r="R119" s="96"/>
      <c r="S119" s="96"/>
      <c r="T119" s="96"/>
      <c r="U119" s="96"/>
      <c r="V119" s="96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96"/>
      <c r="P120" s="96"/>
      <c r="Q120" s="96"/>
      <c r="R120" s="96"/>
      <c r="S120" s="96"/>
      <c r="T120" s="96"/>
      <c r="U120" s="96"/>
      <c r="V120" s="96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96"/>
      <c r="P121" s="96"/>
      <c r="Q121" s="96"/>
      <c r="R121" s="96"/>
      <c r="S121" s="96"/>
      <c r="T121" s="96"/>
      <c r="U121" s="96"/>
      <c r="V121" s="96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96"/>
      <c r="P122" s="96"/>
      <c r="Q122" s="96"/>
      <c r="R122" s="96"/>
      <c r="S122" s="96"/>
      <c r="T122" s="96"/>
      <c r="U122" s="96"/>
      <c r="V122" s="96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96"/>
      <c r="P123" s="96"/>
      <c r="Q123" s="96"/>
      <c r="R123" s="96"/>
      <c r="S123" s="96"/>
      <c r="T123" s="96"/>
      <c r="U123" s="96"/>
      <c r="V123" s="96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96"/>
      <c r="P124" s="96"/>
      <c r="Q124" s="96"/>
      <c r="R124" s="96"/>
      <c r="S124" s="96"/>
      <c r="T124" s="96"/>
      <c r="U124" s="96"/>
      <c r="V124" s="96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96"/>
      <c r="P125" s="96"/>
      <c r="Q125" s="96"/>
      <c r="R125" s="96"/>
      <c r="S125" s="96"/>
      <c r="T125" s="96"/>
      <c r="U125" s="96"/>
      <c r="V125" s="96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96"/>
      <c r="P126" s="96"/>
      <c r="Q126" s="96"/>
      <c r="R126" s="96"/>
      <c r="S126" s="96"/>
      <c r="T126" s="96"/>
      <c r="U126" s="96"/>
      <c r="V126" s="96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96"/>
      <c r="P127" s="96"/>
      <c r="Q127" s="96"/>
      <c r="R127" s="96"/>
      <c r="S127" s="96"/>
      <c r="T127" s="96"/>
      <c r="U127" s="96"/>
      <c r="V127" s="96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96"/>
      <c r="P128" s="96"/>
      <c r="Q128" s="96"/>
      <c r="R128" s="96"/>
      <c r="S128" s="96"/>
      <c r="T128" s="96"/>
      <c r="U128" s="96"/>
      <c r="V128" s="96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96"/>
      <c r="P129" s="96"/>
      <c r="Q129" s="96"/>
      <c r="R129" s="96"/>
      <c r="S129" s="96"/>
      <c r="T129" s="96"/>
      <c r="U129" s="96"/>
      <c r="V129" s="96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96"/>
      <c r="P130" s="96"/>
      <c r="Q130" s="96"/>
      <c r="R130" s="96"/>
      <c r="S130" s="96"/>
      <c r="T130" s="96"/>
      <c r="U130" s="96"/>
      <c r="V130" s="96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96"/>
      <c r="P131" s="96"/>
      <c r="Q131" s="96"/>
      <c r="R131" s="96"/>
      <c r="S131" s="96"/>
      <c r="T131" s="96"/>
      <c r="U131" s="96"/>
      <c r="V131" s="96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96"/>
      <c r="P132" s="96"/>
      <c r="Q132" s="96"/>
      <c r="R132" s="96"/>
      <c r="S132" s="96"/>
      <c r="T132" s="96"/>
      <c r="U132" s="96"/>
      <c r="V132" s="96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96"/>
      <c r="P133" s="96"/>
      <c r="Q133" s="96"/>
      <c r="R133" s="96"/>
      <c r="S133" s="96"/>
      <c r="T133" s="96"/>
      <c r="U133" s="96"/>
      <c r="V133" s="96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96"/>
      <c r="P134" s="96"/>
      <c r="Q134" s="96"/>
      <c r="R134" s="96"/>
      <c r="S134" s="96"/>
      <c r="T134" s="96"/>
      <c r="U134" s="96"/>
      <c r="V134" s="96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96"/>
      <c r="P135" s="96"/>
      <c r="Q135" s="96"/>
      <c r="R135" s="96"/>
      <c r="S135" s="96"/>
      <c r="T135" s="96"/>
      <c r="U135" s="96"/>
      <c r="V135" s="96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96"/>
      <c r="P136" s="96"/>
      <c r="Q136" s="96"/>
      <c r="R136" s="96"/>
      <c r="S136" s="96"/>
      <c r="T136" s="96"/>
      <c r="U136" s="96"/>
      <c r="V136" s="96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96"/>
      <c r="P137" s="96"/>
      <c r="Q137" s="96"/>
      <c r="R137" s="96"/>
      <c r="S137" s="96"/>
      <c r="T137" s="96"/>
      <c r="U137" s="96"/>
      <c r="V137" s="96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96"/>
      <c r="P138" s="96"/>
      <c r="Q138" s="96"/>
      <c r="R138" s="96"/>
      <c r="S138" s="96"/>
      <c r="T138" s="96"/>
      <c r="U138" s="96"/>
      <c r="V138" s="96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96"/>
      <c r="P139" s="96"/>
      <c r="Q139" s="96"/>
      <c r="R139" s="96"/>
      <c r="S139" s="96"/>
      <c r="T139" s="96"/>
      <c r="U139" s="96"/>
      <c r="V139" s="96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96"/>
      <c r="P140" s="96"/>
      <c r="Q140" s="96"/>
      <c r="R140" s="96"/>
      <c r="S140" s="96"/>
      <c r="T140" s="96"/>
      <c r="U140" s="96"/>
      <c r="V140" s="96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96"/>
      <c r="P141" s="96"/>
      <c r="Q141" s="96"/>
      <c r="R141" s="96"/>
      <c r="S141" s="96"/>
      <c r="T141" s="96"/>
      <c r="U141" s="96"/>
      <c r="V141" s="96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96"/>
      <c r="P142" s="96"/>
      <c r="Q142" s="96"/>
      <c r="R142" s="96"/>
      <c r="S142" s="96"/>
      <c r="T142" s="96"/>
      <c r="U142" s="96"/>
      <c r="V142" s="96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96"/>
      <c r="P143" s="96"/>
      <c r="Q143" s="96"/>
      <c r="R143" s="96"/>
      <c r="S143" s="96"/>
      <c r="T143" s="96"/>
      <c r="U143" s="96"/>
      <c r="V143" s="96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96"/>
      <c r="P144" s="96"/>
      <c r="Q144" s="96"/>
      <c r="R144" s="96"/>
      <c r="S144" s="96"/>
      <c r="T144" s="96"/>
      <c r="U144" s="96"/>
      <c r="V144" s="96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96"/>
      <c r="P145" s="96"/>
      <c r="Q145" s="96"/>
      <c r="R145" s="96"/>
      <c r="S145" s="96"/>
      <c r="T145" s="96"/>
      <c r="U145" s="96"/>
      <c r="V145" s="96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96"/>
      <c r="P146" s="96"/>
      <c r="Q146" s="96"/>
      <c r="R146" s="96"/>
      <c r="S146" s="96"/>
      <c r="T146" s="96"/>
      <c r="U146" s="96"/>
      <c r="V146" s="96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96"/>
      <c r="P147" s="96"/>
      <c r="Q147" s="96"/>
      <c r="R147" s="96"/>
      <c r="S147" s="96"/>
      <c r="T147" s="96"/>
      <c r="U147" s="96"/>
      <c r="V147" s="96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96"/>
      <c r="P148" s="96"/>
      <c r="Q148" s="96"/>
      <c r="R148" s="96"/>
      <c r="S148" s="96"/>
      <c r="T148" s="96"/>
      <c r="U148" s="96"/>
      <c r="V148" s="96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96"/>
      <c r="P149" s="96"/>
      <c r="Q149" s="96"/>
      <c r="R149" s="96"/>
      <c r="S149" s="96"/>
      <c r="T149" s="96"/>
      <c r="U149" s="96"/>
      <c r="V149" s="96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96"/>
      <c r="P150" s="96"/>
      <c r="Q150" s="96"/>
      <c r="R150" s="96"/>
      <c r="S150" s="96"/>
      <c r="T150" s="96"/>
      <c r="U150" s="96"/>
      <c r="V150" s="96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96"/>
      <c r="P151" s="96"/>
      <c r="Q151" s="96"/>
      <c r="R151" s="96"/>
      <c r="S151" s="96"/>
      <c r="T151" s="96"/>
      <c r="U151" s="96"/>
      <c r="V151" s="96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96"/>
      <c r="P152" s="96"/>
      <c r="Q152" s="96"/>
      <c r="R152" s="96"/>
      <c r="S152" s="96"/>
      <c r="T152" s="96"/>
      <c r="U152" s="96"/>
      <c r="V152" s="96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96"/>
      <c r="P153" s="96"/>
      <c r="Q153" s="96"/>
      <c r="R153" s="96"/>
      <c r="S153" s="96"/>
      <c r="T153" s="96"/>
      <c r="U153" s="96"/>
      <c r="V153" s="96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96"/>
      <c r="P154" s="96"/>
      <c r="Q154" s="96"/>
      <c r="R154" s="96"/>
      <c r="S154" s="96"/>
      <c r="T154" s="96"/>
      <c r="U154" s="96"/>
      <c r="V154" s="96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96"/>
      <c r="P155" s="96"/>
      <c r="Q155" s="96"/>
      <c r="R155" s="96"/>
      <c r="S155" s="96"/>
      <c r="T155" s="96"/>
      <c r="U155" s="96"/>
      <c r="V155" s="96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96"/>
      <c r="P156" s="96"/>
      <c r="Q156" s="96"/>
      <c r="R156" s="96"/>
      <c r="S156" s="96"/>
      <c r="T156" s="96"/>
      <c r="U156" s="96"/>
      <c r="V156" s="96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96"/>
      <c r="P157" s="96"/>
      <c r="Q157" s="96"/>
      <c r="R157" s="96"/>
      <c r="S157" s="96"/>
      <c r="T157" s="96"/>
      <c r="U157" s="96"/>
      <c r="V157" s="96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96"/>
      <c r="P158" s="96"/>
      <c r="Q158" s="96"/>
      <c r="R158" s="96"/>
      <c r="S158" s="96"/>
      <c r="T158" s="96"/>
      <c r="U158" s="96"/>
      <c r="V158" s="96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96"/>
      <c r="P159" s="96"/>
      <c r="Q159" s="96"/>
      <c r="R159" s="96"/>
      <c r="S159" s="96"/>
      <c r="T159" s="96"/>
      <c r="U159" s="96"/>
      <c r="V159" s="96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96"/>
      <c r="P160" s="96"/>
      <c r="Q160" s="96"/>
      <c r="R160" s="96"/>
      <c r="S160" s="96"/>
      <c r="T160" s="96"/>
      <c r="U160" s="96"/>
      <c r="V160" s="96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96"/>
      <c r="P161" s="96"/>
      <c r="Q161" s="96"/>
      <c r="R161" s="96"/>
      <c r="S161" s="96"/>
      <c r="T161" s="96"/>
      <c r="U161" s="96"/>
      <c r="V161" s="96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96"/>
      <c r="P162" s="96"/>
      <c r="Q162" s="96"/>
      <c r="R162" s="96"/>
      <c r="S162" s="96"/>
      <c r="T162" s="96"/>
      <c r="U162" s="96"/>
      <c r="V162" s="96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96"/>
      <c r="P163" s="96"/>
      <c r="Q163" s="96"/>
      <c r="R163" s="96"/>
      <c r="S163" s="96"/>
      <c r="T163" s="96"/>
      <c r="U163" s="96"/>
      <c r="V163" s="96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96"/>
      <c r="P164" s="96"/>
      <c r="Q164" s="96"/>
      <c r="R164" s="96"/>
      <c r="S164" s="96"/>
      <c r="T164" s="96"/>
      <c r="U164" s="96"/>
      <c r="V164" s="96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96"/>
      <c r="P165" s="96"/>
      <c r="Q165" s="96"/>
      <c r="R165" s="96"/>
      <c r="S165" s="96"/>
      <c r="T165" s="96"/>
      <c r="U165" s="96"/>
      <c r="V165" s="96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96"/>
      <c r="P166" s="96"/>
      <c r="Q166" s="96"/>
      <c r="R166" s="96"/>
      <c r="S166" s="96"/>
      <c r="T166" s="96"/>
      <c r="U166" s="96"/>
      <c r="V166" s="96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96"/>
      <c r="P167" s="96"/>
      <c r="Q167" s="96"/>
      <c r="R167" s="96"/>
      <c r="S167" s="96"/>
      <c r="T167" s="96"/>
      <c r="U167" s="96"/>
      <c r="V167" s="96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96"/>
      <c r="P168" s="96"/>
      <c r="Q168" s="96"/>
      <c r="R168" s="96"/>
      <c r="S168" s="96"/>
      <c r="T168" s="96"/>
      <c r="U168" s="96"/>
      <c r="V168" s="96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96"/>
      <c r="P169" s="96"/>
      <c r="Q169" s="96"/>
      <c r="R169" s="96"/>
      <c r="S169" s="96"/>
      <c r="T169" s="96"/>
      <c r="U169" s="96"/>
      <c r="V169" s="96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96"/>
      <c r="P170" s="96"/>
      <c r="Q170" s="96"/>
      <c r="R170" s="96"/>
      <c r="S170" s="96"/>
      <c r="T170" s="96"/>
      <c r="U170" s="96"/>
      <c r="V170" s="96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96"/>
      <c r="P171" s="96"/>
      <c r="Q171" s="96"/>
      <c r="R171" s="96"/>
      <c r="S171" s="96"/>
      <c r="T171" s="96"/>
      <c r="U171" s="96"/>
      <c r="V171" s="96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96"/>
      <c r="P172" s="96"/>
      <c r="Q172" s="96"/>
      <c r="R172" s="96"/>
      <c r="S172" s="96"/>
      <c r="T172" s="96"/>
      <c r="U172" s="96"/>
      <c r="V172" s="96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96"/>
      <c r="P173" s="96"/>
      <c r="Q173" s="96"/>
      <c r="R173" s="96"/>
      <c r="S173" s="96"/>
      <c r="T173" s="96"/>
      <c r="U173" s="96"/>
      <c r="V173" s="96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96"/>
      <c r="P174" s="96"/>
      <c r="Q174" s="96"/>
      <c r="R174" s="96"/>
      <c r="S174" s="96"/>
      <c r="T174" s="96"/>
      <c r="U174" s="96"/>
      <c r="V174" s="96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96"/>
      <c r="P175" s="96"/>
      <c r="Q175" s="96"/>
      <c r="R175" s="96"/>
      <c r="S175" s="96"/>
      <c r="T175" s="96"/>
      <c r="U175" s="96"/>
      <c r="V175" s="96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96"/>
      <c r="P176" s="96"/>
      <c r="Q176" s="96"/>
      <c r="R176" s="96"/>
      <c r="S176" s="96"/>
      <c r="T176" s="96"/>
      <c r="U176" s="96"/>
      <c r="V176" s="96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96"/>
      <c r="P177" s="96"/>
      <c r="Q177" s="96"/>
      <c r="R177" s="96"/>
      <c r="S177" s="96"/>
      <c r="T177" s="96"/>
      <c r="U177" s="96"/>
      <c r="V177" s="96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96"/>
      <c r="P178" s="96"/>
      <c r="Q178" s="96"/>
      <c r="R178" s="96"/>
      <c r="S178" s="96"/>
      <c r="T178" s="96"/>
      <c r="U178" s="96"/>
      <c r="V178" s="96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96"/>
      <c r="P179" s="96"/>
      <c r="Q179" s="96"/>
      <c r="R179" s="96"/>
      <c r="S179" s="96"/>
      <c r="T179" s="96"/>
      <c r="U179" s="96"/>
      <c r="V179" s="96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96"/>
      <c r="P180" s="96"/>
      <c r="Q180" s="96"/>
      <c r="R180" s="96"/>
      <c r="S180" s="96"/>
      <c r="T180" s="96"/>
      <c r="U180" s="96"/>
      <c r="V180" s="96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96"/>
      <c r="P181" s="96"/>
      <c r="Q181" s="96"/>
      <c r="R181" s="96"/>
      <c r="S181" s="96"/>
      <c r="T181" s="96"/>
      <c r="U181" s="96"/>
      <c r="V181" s="96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96"/>
      <c r="P182" s="96"/>
      <c r="Q182" s="96"/>
      <c r="R182" s="96"/>
      <c r="S182" s="96"/>
      <c r="T182" s="96"/>
      <c r="U182" s="96"/>
      <c r="V182" s="96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96"/>
      <c r="P183" s="96"/>
      <c r="Q183" s="96"/>
      <c r="R183" s="96"/>
      <c r="S183" s="96"/>
      <c r="T183" s="96"/>
      <c r="U183" s="96"/>
      <c r="V183" s="96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96"/>
      <c r="P184" s="96"/>
      <c r="Q184" s="96"/>
      <c r="R184" s="96"/>
      <c r="S184" s="96"/>
      <c r="T184" s="96"/>
      <c r="U184" s="96"/>
      <c r="V184" s="96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96"/>
      <c r="P185" s="96"/>
      <c r="Q185" s="96"/>
      <c r="R185" s="96"/>
      <c r="S185" s="96"/>
      <c r="T185" s="96"/>
      <c r="U185" s="96"/>
      <c r="V185" s="96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96"/>
      <c r="P186" s="96"/>
      <c r="Q186" s="96"/>
      <c r="R186" s="96"/>
      <c r="S186" s="96"/>
      <c r="T186" s="96"/>
      <c r="U186" s="96"/>
      <c r="V186" s="96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96"/>
      <c r="P187" s="96"/>
      <c r="Q187" s="96"/>
      <c r="R187" s="96"/>
      <c r="S187" s="96"/>
      <c r="T187" s="96"/>
      <c r="U187" s="96"/>
      <c r="V187" s="96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96"/>
      <c r="P188" s="96"/>
      <c r="Q188" s="96"/>
      <c r="R188" s="96"/>
      <c r="S188" s="96"/>
      <c r="T188" s="96"/>
      <c r="U188" s="96"/>
      <c r="V188" s="96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96"/>
      <c r="P189" s="96"/>
      <c r="Q189" s="96"/>
      <c r="R189" s="96"/>
      <c r="S189" s="96"/>
      <c r="T189" s="96"/>
      <c r="U189" s="96"/>
      <c r="V189" s="96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96"/>
      <c r="P190" s="96"/>
      <c r="Q190" s="96"/>
      <c r="R190" s="96"/>
      <c r="S190" s="96"/>
      <c r="T190" s="96"/>
      <c r="U190" s="96"/>
      <c r="V190" s="96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96"/>
      <c r="P191" s="96"/>
      <c r="Q191" s="96"/>
      <c r="R191" s="96"/>
      <c r="S191" s="96"/>
      <c r="T191" s="96"/>
      <c r="U191" s="96"/>
      <c r="V191" s="96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96"/>
      <c r="P192" s="96"/>
      <c r="Q192" s="96"/>
      <c r="R192" s="96"/>
      <c r="S192" s="96"/>
      <c r="T192" s="96"/>
      <c r="U192" s="96"/>
      <c r="V192" s="96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96"/>
      <c r="P193" s="96"/>
      <c r="Q193" s="96"/>
      <c r="R193" s="96"/>
      <c r="S193" s="96"/>
      <c r="T193" s="96"/>
      <c r="U193" s="96"/>
      <c r="V193" s="96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96"/>
      <c r="P194" s="96"/>
      <c r="Q194" s="96"/>
      <c r="R194" s="96"/>
      <c r="S194" s="96"/>
      <c r="T194" s="96"/>
      <c r="U194" s="96"/>
      <c r="V194" s="96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96"/>
      <c r="P195" s="96"/>
      <c r="Q195" s="96"/>
      <c r="R195" s="96"/>
      <c r="S195" s="96"/>
      <c r="T195" s="96"/>
      <c r="U195" s="96"/>
      <c r="V195" s="96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96"/>
      <c r="P196" s="96"/>
      <c r="Q196" s="96"/>
      <c r="R196" s="96"/>
      <c r="S196" s="96"/>
      <c r="T196" s="96"/>
      <c r="U196" s="96"/>
      <c r="V196" s="96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96"/>
      <c r="P197" s="96"/>
      <c r="Q197" s="96"/>
      <c r="R197" s="96"/>
      <c r="S197" s="96"/>
      <c r="T197" s="96"/>
      <c r="U197" s="96"/>
      <c r="V197" s="96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96"/>
      <c r="P198" s="96"/>
      <c r="Q198" s="96"/>
      <c r="R198" s="96"/>
      <c r="S198" s="96"/>
      <c r="T198" s="96"/>
      <c r="U198" s="96"/>
      <c r="V198" s="96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96"/>
      <c r="P199" s="96"/>
      <c r="Q199" s="96"/>
      <c r="R199" s="96"/>
      <c r="S199" s="96"/>
      <c r="T199" s="96"/>
      <c r="U199" s="96"/>
      <c r="V199" s="96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96"/>
      <c r="P200" s="96"/>
      <c r="Q200" s="96"/>
      <c r="R200" s="96"/>
      <c r="S200" s="96"/>
      <c r="T200" s="96"/>
      <c r="U200" s="96"/>
      <c r="V200" s="96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96"/>
      <c r="P201" s="96"/>
      <c r="Q201" s="96"/>
      <c r="R201" s="96"/>
      <c r="S201" s="96"/>
      <c r="T201" s="96"/>
      <c r="U201" s="96"/>
      <c r="V201" s="96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96"/>
      <c r="P202" s="96"/>
      <c r="Q202" s="96"/>
      <c r="R202" s="96"/>
      <c r="S202" s="96"/>
      <c r="T202" s="96"/>
      <c r="U202" s="96"/>
      <c r="V202" s="96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96"/>
      <c r="P203" s="96"/>
      <c r="Q203" s="96"/>
      <c r="R203" s="96"/>
      <c r="S203" s="96"/>
      <c r="T203" s="96"/>
      <c r="U203" s="96"/>
      <c r="V203" s="96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96"/>
      <c r="P204" s="96"/>
      <c r="Q204" s="96"/>
      <c r="R204" s="96"/>
      <c r="S204" s="96"/>
      <c r="T204" s="96"/>
      <c r="U204" s="96"/>
      <c r="V204" s="96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96"/>
      <c r="P205" s="96"/>
      <c r="Q205" s="96"/>
      <c r="R205" s="96"/>
      <c r="S205" s="96"/>
      <c r="T205" s="96"/>
      <c r="U205" s="96"/>
      <c r="V205" s="96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96"/>
      <c r="P206" s="96"/>
      <c r="Q206" s="96"/>
      <c r="R206" s="96"/>
      <c r="S206" s="96"/>
      <c r="T206" s="96"/>
      <c r="U206" s="96"/>
      <c r="V206" s="96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96"/>
      <c r="P207" s="96"/>
      <c r="Q207" s="96"/>
      <c r="R207" s="96"/>
      <c r="S207" s="96"/>
      <c r="T207" s="96"/>
      <c r="U207" s="96"/>
      <c r="V207" s="96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96"/>
      <c r="P208" s="96"/>
      <c r="Q208" s="96"/>
      <c r="R208" s="96"/>
      <c r="S208" s="96"/>
      <c r="T208" s="96"/>
      <c r="U208" s="96"/>
      <c r="V208" s="96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96"/>
      <c r="P209" s="96"/>
      <c r="Q209" s="96"/>
      <c r="R209" s="96"/>
      <c r="S209" s="96"/>
      <c r="T209" s="96"/>
      <c r="U209" s="96"/>
      <c r="V209" s="96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96"/>
      <c r="P210" s="96"/>
      <c r="Q210" s="96"/>
      <c r="R210" s="96"/>
      <c r="S210" s="96"/>
      <c r="T210" s="96"/>
      <c r="U210" s="96"/>
      <c r="V210" s="96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96"/>
      <c r="P211" s="96"/>
      <c r="Q211" s="96"/>
      <c r="R211" s="96"/>
      <c r="S211" s="96"/>
      <c r="T211" s="96"/>
      <c r="U211" s="96"/>
      <c r="V211" s="96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96"/>
      <c r="P212" s="96"/>
      <c r="Q212" s="96"/>
      <c r="R212" s="96"/>
      <c r="S212" s="96"/>
      <c r="T212" s="96"/>
      <c r="U212" s="96"/>
      <c r="V212" s="96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96"/>
      <c r="P213" s="96"/>
      <c r="Q213" s="96"/>
      <c r="R213" s="96"/>
      <c r="S213" s="96"/>
      <c r="T213" s="96"/>
      <c r="U213" s="96"/>
      <c r="V213" s="96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96"/>
      <c r="P214" s="96"/>
      <c r="Q214" s="96"/>
      <c r="R214" s="96"/>
      <c r="S214" s="96"/>
      <c r="T214" s="96"/>
      <c r="U214" s="96"/>
      <c r="V214" s="96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96"/>
      <c r="P215" s="96"/>
      <c r="Q215" s="96"/>
      <c r="R215" s="96"/>
      <c r="S215" s="96"/>
      <c r="T215" s="96"/>
      <c r="U215" s="96"/>
      <c r="V215" s="96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96"/>
      <c r="P216" s="96"/>
      <c r="Q216" s="96"/>
      <c r="R216" s="96"/>
      <c r="S216" s="96"/>
      <c r="T216" s="96"/>
      <c r="U216" s="96"/>
      <c r="V216" s="96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96"/>
      <c r="P217" s="96"/>
      <c r="Q217" s="96"/>
      <c r="R217" s="96"/>
      <c r="S217" s="96"/>
      <c r="T217" s="96"/>
      <c r="U217" s="96"/>
      <c r="V217" s="96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96"/>
      <c r="P218" s="96"/>
      <c r="Q218" s="96"/>
      <c r="R218" s="96"/>
      <c r="S218" s="96"/>
      <c r="T218" s="96"/>
      <c r="U218" s="96"/>
      <c r="V218" s="96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96"/>
      <c r="P219" s="96"/>
      <c r="Q219" s="96"/>
      <c r="R219" s="96"/>
      <c r="S219" s="96"/>
      <c r="T219" s="96"/>
      <c r="U219" s="96"/>
      <c r="V219" s="96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96"/>
      <c r="P220" s="96"/>
      <c r="Q220" s="96"/>
      <c r="R220" s="96"/>
      <c r="S220" s="96"/>
      <c r="T220" s="96"/>
      <c r="U220" s="96"/>
      <c r="V220" s="96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96"/>
      <c r="P221" s="96"/>
      <c r="Q221" s="96"/>
      <c r="R221" s="96"/>
      <c r="S221" s="96"/>
      <c r="T221" s="96"/>
      <c r="U221" s="96"/>
      <c r="V221" s="96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96"/>
      <c r="P222" s="96"/>
      <c r="Q222" s="96"/>
      <c r="R222" s="96"/>
      <c r="S222" s="96"/>
      <c r="T222" s="96"/>
      <c r="U222" s="96"/>
      <c r="V222" s="96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96"/>
      <c r="P223" s="96"/>
      <c r="Q223" s="96"/>
      <c r="R223" s="96"/>
      <c r="S223" s="96"/>
      <c r="T223" s="96"/>
      <c r="U223" s="96"/>
      <c r="V223" s="96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96"/>
      <c r="P224" s="96"/>
      <c r="Q224" s="96"/>
      <c r="R224" s="96"/>
      <c r="S224" s="96"/>
      <c r="T224" s="96"/>
      <c r="U224" s="96"/>
      <c r="V224" s="96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96"/>
      <c r="P225" s="96"/>
      <c r="Q225" s="96"/>
      <c r="R225" s="96"/>
      <c r="S225" s="96"/>
      <c r="T225" s="96"/>
      <c r="U225" s="96"/>
      <c r="V225" s="96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1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96"/>
      <c r="P226" s="96"/>
      <c r="Q226" s="96"/>
      <c r="R226" s="96"/>
      <c r="S226" s="96"/>
      <c r="T226" s="96"/>
      <c r="U226" s="96"/>
      <c r="V226" s="96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1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96"/>
      <c r="P227" s="96"/>
      <c r="Q227" s="96"/>
      <c r="R227" s="96"/>
      <c r="S227" s="96"/>
      <c r="T227" s="96"/>
      <c r="U227" s="96"/>
      <c r="V227" s="96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1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96"/>
      <c r="P228" s="96"/>
      <c r="Q228" s="96"/>
      <c r="R228" s="96"/>
      <c r="S228" s="96"/>
      <c r="T228" s="96"/>
      <c r="U228" s="96"/>
      <c r="V228" s="96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1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96"/>
      <c r="P229" s="96"/>
      <c r="Q229" s="96"/>
      <c r="R229" s="96"/>
      <c r="S229" s="96"/>
      <c r="T229" s="96"/>
      <c r="U229" s="96"/>
      <c r="V229" s="96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1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96"/>
      <c r="P230" s="96"/>
      <c r="Q230" s="96"/>
      <c r="R230" s="96"/>
      <c r="S230" s="96"/>
      <c r="T230" s="96"/>
      <c r="U230" s="96"/>
      <c r="V230" s="96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1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96"/>
      <c r="P231" s="96"/>
      <c r="Q231" s="96"/>
      <c r="R231" s="96"/>
      <c r="S231" s="96"/>
      <c r="T231" s="96"/>
      <c r="U231" s="96"/>
      <c r="V231" s="96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1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96"/>
      <c r="P232" s="96"/>
      <c r="Q232" s="96"/>
      <c r="R232" s="96"/>
      <c r="S232" s="96"/>
      <c r="T232" s="96"/>
      <c r="U232" s="96"/>
      <c r="V232" s="96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1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96"/>
      <c r="P233" s="96"/>
      <c r="Q233" s="96"/>
      <c r="R233" s="96"/>
      <c r="S233" s="96"/>
      <c r="T233" s="96"/>
      <c r="U233" s="96"/>
      <c r="V233" s="96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1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96"/>
      <c r="P234" s="96"/>
      <c r="Q234" s="96"/>
      <c r="R234" s="96"/>
      <c r="S234" s="96"/>
      <c r="T234" s="96"/>
      <c r="U234" s="96"/>
      <c r="V234" s="96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1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96"/>
      <c r="P235" s="96"/>
      <c r="Q235" s="96"/>
      <c r="R235" s="96"/>
      <c r="S235" s="96"/>
      <c r="T235" s="96"/>
      <c r="U235" s="96"/>
      <c r="V235" s="96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1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96"/>
      <c r="P236" s="96"/>
      <c r="Q236" s="96"/>
      <c r="R236" s="96"/>
      <c r="S236" s="96"/>
      <c r="T236" s="96"/>
      <c r="U236" s="96"/>
      <c r="V236" s="96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1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96"/>
      <c r="P237" s="96"/>
      <c r="Q237" s="96"/>
      <c r="R237" s="96"/>
      <c r="S237" s="96"/>
      <c r="T237" s="96"/>
      <c r="U237" s="96"/>
      <c r="V237" s="96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1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96"/>
      <c r="P238" s="96"/>
      <c r="Q238" s="96"/>
      <c r="R238" s="96"/>
      <c r="S238" s="96"/>
      <c r="T238" s="96"/>
      <c r="U238" s="96"/>
      <c r="V238" s="96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1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96"/>
      <c r="P239" s="96"/>
      <c r="Q239" s="96"/>
      <c r="R239" s="96"/>
      <c r="S239" s="96"/>
      <c r="T239" s="96"/>
      <c r="U239" s="96"/>
      <c r="V239" s="96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1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96"/>
      <c r="P240" s="96"/>
      <c r="Q240" s="96"/>
      <c r="R240" s="96"/>
      <c r="S240" s="96"/>
      <c r="T240" s="96"/>
      <c r="U240" s="96"/>
      <c r="V240" s="96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1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96"/>
      <c r="P241" s="96"/>
      <c r="Q241" s="96"/>
      <c r="R241" s="96"/>
      <c r="S241" s="96"/>
      <c r="T241" s="96"/>
      <c r="U241" s="96"/>
      <c r="V241" s="96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1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96"/>
      <c r="P242" s="96"/>
      <c r="Q242" s="96"/>
      <c r="R242" s="96"/>
      <c r="S242" s="96"/>
      <c r="T242" s="96"/>
      <c r="U242" s="96"/>
      <c r="V242" s="96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1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96"/>
      <c r="P243" s="96"/>
      <c r="Q243" s="96"/>
      <c r="R243" s="96"/>
      <c r="S243" s="96"/>
      <c r="T243" s="96"/>
      <c r="U243" s="96"/>
      <c r="V243" s="96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96"/>
      <c r="P244" s="96"/>
      <c r="Q244" s="96"/>
      <c r="R244" s="96"/>
      <c r="S244" s="96"/>
      <c r="T244" s="96"/>
      <c r="U244" s="96"/>
      <c r="V244" s="96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1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96"/>
      <c r="P245" s="96"/>
      <c r="Q245" s="96"/>
      <c r="R245" s="96"/>
      <c r="S245" s="96"/>
      <c r="T245" s="96"/>
      <c r="U245" s="96"/>
      <c r="V245" s="96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1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96"/>
      <c r="P246" s="96"/>
      <c r="Q246" s="96"/>
      <c r="R246" s="96"/>
      <c r="S246" s="96"/>
      <c r="T246" s="96"/>
      <c r="U246" s="96"/>
      <c r="V246" s="96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96"/>
      <c r="P247" s="96"/>
      <c r="Q247" s="96"/>
      <c r="R247" s="96"/>
      <c r="S247" s="96"/>
      <c r="T247" s="96"/>
      <c r="U247" s="96"/>
      <c r="V247" s="96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96"/>
      <c r="P248" s="96"/>
      <c r="Q248" s="96"/>
      <c r="R248" s="96"/>
      <c r="S248" s="96"/>
      <c r="T248" s="96"/>
      <c r="U248" s="96"/>
      <c r="V248" s="96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96"/>
      <c r="P249" s="96"/>
      <c r="Q249" s="96"/>
      <c r="R249" s="96"/>
      <c r="S249" s="96"/>
      <c r="T249" s="96"/>
      <c r="U249" s="96"/>
      <c r="V249" s="96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1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96"/>
      <c r="P250" s="96"/>
      <c r="Q250" s="96"/>
      <c r="R250" s="96"/>
      <c r="S250" s="96"/>
      <c r="T250" s="96"/>
      <c r="U250" s="96"/>
      <c r="V250" s="96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1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96"/>
      <c r="P251" s="96"/>
      <c r="Q251" s="96"/>
      <c r="R251" s="96"/>
      <c r="S251" s="96"/>
      <c r="T251" s="96"/>
      <c r="U251" s="96"/>
      <c r="V251" s="96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1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96"/>
      <c r="P252" s="96"/>
      <c r="Q252" s="96"/>
      <c r="R252" s="96"/>
      <c r="S252" s="96"/>
      <c r="T252" s="96"/>
      <c r="U252" s="96"/>
      <c r="V252" s="96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1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96"/>
      <c r="P253" s="96"/>
      <c r="Q253" s="96"/>
      <c r="R253" s="96"/>
      <c r="S253" s="96"/>
      <c r="T253" s="96"/>
      <c r="U253" s="96"/>
      <c r="V253" s="96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1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96"/>
      <c r="P254" s="96"/>
      <c r="Q254" s="96"/>
      <c r="R254" s="96"/>
      <c r="S254" s="96"/>
      <c r="T254" s="96"/>
      <c r="U254" s="96"/>
      <c r="V254" s="96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1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96"/>
      <c r="P255" s="96"/>
      <c r="Q255" s="96"/>
      <c r="R255" s="96"/>
      <c r="S255" s="96"/>
      <c r="T255" s="96"/>
      <c r="U255" s="96"/>
      <c r="V255" s="96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1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96"/>
      <c r="P256" s="96"/>
      <c r="Q256" s="96"/>
      <c r="R256" s="96"/>
      <c r="S256" s="96"/>
      <c r="T256" s="96"/>
      <c r="U256" s="96"/>
      <c r="V256" s="96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1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96"/>
      <c r="P257" s="96"/>
      <c r="Q257" s="96"/>
      <c r="R257" s="96"/>
      <c r="S257" s="96"/>
      <c r="T257" s="96"/>
      <c r="U257" s="96"/>
      <c r="V257" s="96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1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96"/>
      <c r="P258" s="96"/>
      <c r="Q258" s="96"/>
      <c r="R258" s="96"/>
      <c r="S258" s="96"/>
      <c r="T258" s="96"/>
      <c r="U258" s="96"/>
      <c r="V258" s="96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1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96"/>
      <c r="P259" s="96"/>
      <c r="Q259" s="96"/>
      <c r="R259" s="96"/>
      <c r="S259" s="96"/>
      <c r="T259" s="96"/>
      <c r="U259" s="96"/>
      <c r="V259" s="96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1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96"/>
      <c r="P260" s="96"/>
      <c r="Q260" s="96"/>
      <c r="R260" s="96"/>
      <c r="S260" s="96"/>
      <c r="T260" s="96"/>
      <c r="U260" s="96"/>
      <c r="V260" s="96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1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96"/>
      <c r="P261" s="96"/>
      <c r="Q261" s="96"/>
      <c r="R261" s="96"/>
      <c r="S261" s="96"/>
      <c r="T261" s="96"/>
      <c r="U261" s="96"/>
      <c r="V261" s="96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1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96"/>
      <c r="P262" s="96"/>
      <c r="Q262" s="96"/>
      <c r="R262" s="96"/>
      <c r="S262" s="96"/>
      <c r="T262" s="96"/>
      <c r="U262" s="96"/>
      <c r="V262" s="96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96"/>
      <c r="P263" s="96"/>
      <c r="Q263" s="96"/>
      <c r="R263" s="96"/>
      <c r="S263" s="96"/>
      <c r="T263" s="96"/>
      <c r="U263" s="96"/>
      <c r="V263" s="96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96"/>
      <c r="P264" s="96"/>
      <c r="Q264" s="96"/>
      <c r="R264" s="96"/>
      <c r="S264" s="96"/>
      <c r="T264" s="96"/>
      <c r="U264" s="96"/>
      <c r="V264" s="96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96"/>
      <c r="P265" s="96"/>
      <c r="Q265" s="96"/>
      <c r="R265" s="96"/>
      <c r="S265" s="96"/>
      <c r="T265" s="96"/>
      <c r="U265" s="96"/>
      <c r="V265" s="96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1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96"/>
      <c r="P266" s="96"/>
      <c r="Q266" s="96"/>
      <c r="R266" s="96"/>
      <c r="S266" s="96"/>
      <c r="T266" s="96"/>
      <c r="U266" s="96"/>
      <c r="V266" s="96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1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96"/>
      <c r="P267" s="96"/>
      <c r="Q267" s="96"/>
      <c r="R267" s="96"/>
      <c r="S267" s="96"/>
      <c r="T267" s="96"/>
      <c r="U267" s="96"/>
      <c r="V267" s="96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1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96"/>
      <c r="P268" s="96"/>
      <c r="Q268" s="96"/>
      <c r="R268" s="96"/>
      <c r="S268" s="96"/>
      <c r="T268" s="96"/>
      <c r="U268" s="96"/>
      <c r="V268" s="96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1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96"/>
      <c r="P269" s="96"/>
      <c r="Q269" s="96"/>
      <c r="R269" s="96"/>
      <c r="S269" s="96"/>
      <c r="T269" s="96"/>
      <c r="U269" s="96"/>
      <c r="V269" s="96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1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96"/>
      <c r="P270" s="96"/>
      <c r="Q270" s="96"/>
      <c r="R270" s="96"/>
      <c r="S270" s="96"/>
      <c r="T270" s="96"/>
      <c r="U270" s="96"/>
      <c r="V270" s="96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1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96"/>
      <c r="P271" s="96"/>
      <c r="Q271" s="96"/>
      <c r="R271" s="96"/>
      <c r="S271" s="96"/>
      <c r="T271" s="96"/>
      <c r="U271" s="96"/>
      <c r="V271" s="96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1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96"/>
      <c r="P272" s="96"/>
      <c r="Q272" s="96"/>
      <c r="R272" s="96"/>
      <c r="S272" s="96"/>
      <c r="T272" s="96"/>
      <c r="U272" s="96"/>
      <c r="V272" s="96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1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96"/>
      <c r="P273" s="96"/>
      <c r="Q273" s="96"/>
      <c r="R273" s="96"/>
      <c r="S273" s="96"/>
      <c r="T273" s="96"/>
      <c r="U273" s="96"/>
      <c r="V273" s="96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1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96"/>
      <c r="P274" s="96"/>
      <c r="Q274" s="96"/>
      <c r="R274" s="96"/>
      <c r="S274" s="96"/>
      <c r="T274" s="96"/>
      <c r="U274" s="96"/>
      <c r="V274" s="96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96"/>
      <c r="P275" s="96"/>
      <c r="Q275" s="96"/>
      <c r="R275" s="96"/>
      <c r="S275" s="96"/>
      <c r="T275" s="96"/>
      <c r="U275" s="96"/>
      <c r="V275" s="96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1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96"/>
      <c r="P276" s="96"/>
      <c r="Q276" s="96"/>
      <c r="R276" s="96"/>
      <c r="S276" s="96"/>
      <c r="T276" s="96"/>
      <c r="U276" s="96"/>
      <c r="V276" s="96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1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96"/>
      <c r="P277" s="96"/>
      <c r="Q277" s="96"/>
      <c r="R277" s="96"/>
      <c r="S277" s="96"/>
      <c r="T277" s="96"/>
      <c r="U277" s="96"/>
      <c r="V277" s="96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96"/>
      <c r="P278" s="96"/>
      <c r="Q278" s="96"/>
      <c r="R278" s="96"/>
      <c r="S278" s="96"/>
      <c r="T278" s="96"/>
      <c r="U278" s="96"/>
      <c r="V278" s="96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1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96"/>
      <c r="P279" s="96"/>
      <c r="Q279" s="96"/>
      <c r="R279" s="96"/>
      <c r="S279" s="96"/>
      <c r="T279" s="96"/>
      <c r="U279" s="96"/>
      <c r="V279" s="96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1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96"/>
      <c r="P280" s="96"/>
      <c r="Q280" s="96"/>
      <c r="R280" s="96"/>
      <c r="S280" s="96"/>
      <c r="T280" s="96"/>
      <c r="U280" s="96"/>
      <c r="V280" s="96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1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96"/>
      <c r="P281" s="96"/>
      <c r="Q281" s="96"/>
      <c r="R281" s="96"/>
      <c r="S281" s="96"/>
      <c r="T281" s="96"/>
      <c r="U281" s="96"/>
      <c r="V281" s="96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1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96"/>
      <c r="P282" s="96"/>
      <c r="Q282" s="96"/>
      <c r="R282" s="96"/>
      <c r="S282" s="96"/>
      <c r="T282" s="96"/>
      <c r="U282" s="96"/>
      <c r="V282" s="96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1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96"/>
      <c r="P283" s="96"/>
      <c r="Q283" s="96"/>
      <c r="R283" s="96"/>
      <c r="S283" s="96"/>
      <c r="T283" s="96"/>
      <c r="U283" s="96"/>
      <c r="V283" s="96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1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96"/>
      <c r="P284" s="96"/>
      <c r="Q284" s="96"/>
      <c r="R284" s="96"/>
      <c r="S284" s="96"/>
      <c r="T284" s="96"/>
      <c r="U284" s="96"/>
      <c r="V284" s="96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96"/>
      <c r="P285" s="96"/>
      <c r="Q285" s="96"/>
      <c r="R285" s="96"/>
      <c r="S285" s="96"/>
      <c r="T285" s="96"/>
      <c r="U285" s="96"/>
      <c r="V285" s="96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96"/>
      <c r="P286" s="96"/>
      <c r="Q286" s="96"/>
      <c r="R286" s="96"/>
      <c r="S286" s="96"/>
      <c r="T286" s="96"/>
      <c r="U286" s="96"/>
      <c r="V286" s="96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96"/>
      <c r="P287" s="96"/>
      <c r="Q287" s="96"/>
      <c r="R287" s="96"/>
      <c r="S287" s="96"/>
      <c r="T287" s="96"/>
      <c r="U287" s="96"/>
      <c r="V287" s="96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1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96"/>
      <c r="P288" s="96"/>
      <c r="Q288" s="96"/>
      <c r="R288" s="96"/>
      <c r="S288" s="96"/>
      <c r="T288" s="96"/>
      <c r="U288" s="96"/>
      <c r="V288" s="96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1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96"/>
      <c r="P289" s="96"/>
      <c r="Q289" s="96"/>
      <c r="R289" s="96"/>
      <c r="S289" s="96"/>
      <c r="T289" s="96"/>
      <c r="U289" s="96"/>
      <c r="V289" s="96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1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96"/>
      <c r="P290" s="96"/>
      <c r="Q290" s="96"/>
      <c r="R290" s="96"/>
      <c r="S290" s="96"/>
      <c r="T290" s="96"/>
      <c r="U290" s="96"/>
      <c r="V290" s="96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1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96"/>
      <c r="P291" s="96"/>
      <c r="Q291" s="96"/>
      <c r="R291" s="96"/>
      <c r="S291" s="96"/>
      <c r="T291" s="96"/>
      <c r="U291" s="96"/>
      <c r="V291" s="96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1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96"/>
      <c r="P292" s="96"/>
      <c r="Q292" s="96"/>
      <c r="R292" s="96"/>
      <c r="S292" s="96"/>
      <c r="T292" s="96"/>
      <c r="U292" s="96"/>
      <c r="V292" s="96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1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96"/>
      <c r="P293" s="96"/>
      <c r="Q293" s="96"/>
      <c r="R293" s="96"/>
      <c r="S293" s="96"/>
      <c r="T293" s="96"/>
      <c r="U293" s="96"/>
      <c r="V293" s="96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1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96"/>
      <c r="P294" s="96"/>
      <c r="Q294" s="96"/>
      <c r="R294" s="96"/>
      <c r="S294" s="96"/>
      <c r="T294" s="96"/>
      <c r="U294" s="96"/>
      <c r="V294" s="96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1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96"/>
      <c r="P295" s="96"/>
      <c r="Q295" s="96"/>
      <c r="R295" s="96"/>
      <c r="S295" s="96"/>
      <c r="T295" s="96"/>
      <c r="U295" s="96"/>
      <c r="V295" s="96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1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96"/>
      <c r="P296" s="96"/>
      <c r="Q296" s="96"/>
      <c r="R296" s="96"/>
      <c r="S296" s="96"/>
      <c r="T296" s="96"/>
      <c r="U296" s="96"/>
      <c r="V296" s="96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96"/>
      <c r="P297" s="96"/>
      <c r="Q297" s="96"/>
      <c r="R297" s="96"/>
      <c r="S297" s="96"/>
      <c r="T297" s="96"/>
      <c r="U297" s="96"/>
      <c r="V297" s="96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1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96"/>
      <c r="P298" s="96"/>
      <c r="Q298" s="96"/>
      <c r="R298" s="96"/>
      <c r="S298" s="96"/>
      <c r="T298" s="96"/>
      <c r="U298" s="96"/>
      <c r="V298" s="96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1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96"/>
      <c r="P299" s="96"/>
      <c r="Q299" s="96"/>
      <c r="R299" s="96"/>
      <c r="S299" s="96"/>
      <c r="T299" s="96"/>
      <c r="U299" s="96"/>
      <c r="V299" s="96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1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96"/>
      <c r="P300" s="96"/>
      <c r="Q300" s="96"/>
      <c r="R300" s="96"/>
      <c r="S300" s="96"/>
      <c r="T300" s="96"/>
      <c r="U300" s="96"/>
      <c r="V300" s="96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1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96"/>
      <c r="P301" s="96"/>
      <c r="Q301" s="96"/>
      <c r="R301" s="96"/>
      <c r="S301" s="96"/>
      <c r="T301" s="96"/>
      <c r="U301" s="96"/>
      <c r="V301" s="96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96"/>
      <c r="P302" s="96"/>
      <c r="Q302" s="96"/>
      <c r="R302" s="96"/>
      <c r="S302" s="96"/>
      <c r="T302" s="96"/>
      <c r="U302" s="96"/>
      <c r="V302" s="96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96"/>
      <c r="P303" s="96"/>
      <c r="Q303" s="96"/>
      <c r="R303" s="96"/>
      <c r="S303" s="96"/>
      <c r="T303" s="96"/>
      <c r="U303" s="96"/>
      <c r="V303" s="96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96"/>
      <c r="P304" s="96"/>
      <c r="Q304" s="96"/>
      <c r="R304" s="96"/>
      <c r="S304" s="96"/>
      <c r="T304" s="96"/>
      <c r="U304" s="96"/>
      <c r="V304" s="96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1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96"/>
      <c r="P305" s="96"/>
      <c r="Q305" s="96"/>
      <c r="R305" s="96"/>
      <c r="S305" s="96"/>
      <c r="T305" s="96"/>
      <c r="U305" s="96"/>
      <c r="V305" s="96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1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96"/>
      <c r="P306" s="96"/>
      <c r="Q306" s="96"/>
      <c r="R306" s="96"/>
      <c r="S306" s="96"/>
      <c r="T306" s="96"/>
      <c r="U306" s="96"/>
      <c r="V306" s="96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1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96"/>
      <c r="P307" s="96"/>
      <c r="Q307" s="96"/>
      <c r="R307" s="96"/>
      <c r="S307" s="96"/>
      <c r="T307" s="96"/>
      <c r="U307" s="96"/>
      <c r="V307" s="96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1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96"/>
      <c r="P308" s="96"/>
      <c r="Q308" s="96"/>
      <c r="R308" s="96"/>
      <c r="S308" s="96"/>
      <c r="T308" s="96"/>
      <c r="U308" s="96"/>
      <c r="V308" s="96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1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96"/>
      <c r="P309" s="96"/>
      <c r="Q309" s="96"/>
      <c r="R309" s="96"/>
      <c r="S309" s="96"/>
      <c r="T309" s="96"/>
      <c r="U309" s="96"/>
      <c r="V309" s="96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96"/>
      <c r="P310" s="96"/>
      <c r="Q310" s="96"/>
      <c r="R310" s="96"/>
      <c r="S310" s="96"/>
      <c r="T310" s="96"/>
      <c r="U310" s="96"/>
      <c r="V310" s="96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96"/>
      <c r="P311" s="96"/>
      <c r="Q311" s="96"/>
      <c r="R311" s="96"/>
      <c r="S311" s="96"/>
      <c r="T311" s="96"/>
      <c r="U311" s="96"/>
      <c r="V311" s="96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96"/>
      <c r="P312" s="96"/>
      <c r="Q312" s="96"/>
      <c r="R312" s="96"/>
      <c r="S312" s="96"/>
      <c r="T312" s="96"/>
      <c r="U312" s="96"/>
      <c r="V312" s="96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1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96"/>
      <c r="P313" s="96"/>
      <c r="Q313" s="96"/>
      <c r="R313" s="96"/>
      <c r="S313" s="96"/>
      <c r="T313" s="96"/>
      <c r="U313" s="96"/>
      <c r="V313" s="96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1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96"/>
      <c r="P314" s="96"/>
      <c r="Q314" s="96"/>
      <c r="R314" s="96"/>
      <c r="S314" s="96"/>
      <c r="T314" s="96"/>
      <c r="U314" s="96"/>
      <c r="V314" s="96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1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96"/>
      <c r="P315" s="96"/>
      <c r="Q315" s="96"/>
      <c r="R315" s="96"/>
      <c r="S315" s="96"/>
      <c r="T315" s="96"/>
      <c r="U315" s="96"/>
      <c r="V315" s="96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1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96"/>
      <c r="P316" s="96"/>
      <c r="Q316" s="96"/>
      <c r="R316" s="96"/>
      <c r="S316" s="96"/>
      <c r="T316" s="96"/>
      <c r="U316" s="96"/>
      <c r="V316" s="96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1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96"/>
      <c r="P317" s="96"/>
      <c r="Q317" s="96"/>
      <c r="R317" s="96"/>
      <c r="S317" s="96"/>
      <c r="T317" s="96"/>
      <c r="U317" s="96"/>
      <c r="V317" s="96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1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96"/>
      <c r="P318" s="96"/>
      <c r="Q318" s="96"/>
      <c r="R318" s="96"/>
      <c r="S318" s="96"/>
      <c r="T318" s="96"/>
      <c r="U318" s="96"/>
      <c r="V318" s="96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1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96"/>
      <c r="P319" s="96"/>
      <c r="Q319" s="96"/>
      <c r="R319" s="96"/>
      <c r="S319" s="96"/>
      <c r="T319" s="96"/>
      <c r="U319" s="96"/>
      <c r="V319" s="96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1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96"/>
      <c r="P320" s="96"/>
      <c r="Q320" s="96"/>
      <c r="R320" s="96"/>
      <c r="S320" s="96"/>
      <c r="T320" s="96"/>
      <c r="U320" s="96"/>
      <c r="V320" s="96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1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96"/>
      <c r="P321" s="96"/>
      <c r="Q321" s="96"/>
      <c r="R321" s="96"/>
      <c r="S321" s="96"/>
      <c r="T321" s="96"/>
      <c r="U321" s="96"/>
      <c r="V321" s="96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1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96"/>
      <c r="P322" s="96"/>
      <c r="Q322" s="96"/>
      <c r="R322" s="96"/>
      <c r="S322" s="96"/>
      <c r="T322" s="96"/>
      <c r="U322" s="96"/>
      <c r="V322" s="96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1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96"/>
      <c r="P323" s="96"/>
      <c r="Q323" s="96"/>
      <c r="R323" s="96"/>
      <c r="S323" s="96"/>
      <c r="T323" s="96"/>
      <c r="U323" s="96"/>
      <c r="V323" s="96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1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96"/>
      <c r="P324" s="96"/>
      <c r="Q324" s="96"/>
      <c r="R324" s="96"/>
      <c r="S324" s="96"/>
      <c r="T324" s="96"/>
      <c r="U324" s="96"/>
      <c r="V324" s="96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1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96"/>
      <c r="P325" s="96"/>
      <c r="Q325" s="96"/>
      <c r="R325" s="96"/>
      <c r="S325" s="96"/>
      <c r="T325" s="96"/>
      <c r="U325" s="96"/>
      <c r="V325" s="96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1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96"/>
      <c r="P326" s="96"/>
      <c r="Q326" s="96"/>
      <c r="R326" s="96"/>
      <c r="S326" s="96"/>
      <c r="T326" s="96"/>
      <c r="U326" s="96"/>
      <c r="V326" s="96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1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96"/>
      <c r="P327" s="96"/>
      <c r="Q327" s="96"/>
      <c r="R327" s="96"/>
      <c r="S327" s="96"/>
      <c r="T327" s="96"/>
      <c r="U327" s="96"/>
      <c r="V327" s="96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96"/>
      <c r="P328" s="96"/>
      <c r="Q328" s="96"/>
      <c r="R328" s="96"/>
      <c r="S328" s="96"/>
      <c r="T328" s="96"/>
      <c r="U328" s="96"/>
      <c r="V328" s="96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1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96"/>
      <c r="P329" s="96"/>
      <c r="Q329" s="96"/>
      <c r="R329" s="96"/>
      <c r="S329" s="96"/>
      <c r="T329" s="96"/>
      <c r="U329" s="96"/>
      <c r="V329" s="96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1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96"/>
      <c r="P330" s="96"/>
      <c r="Q330" s="96"/>
      <c r="R330" s="96"/>
      <c r="S330" s="96"/>
      <c r="T330" s="96"/>
      <c r="U330" s="96"/>
      <c r="V330" s="96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1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96"/>
      <c r="P331" s="96"/>
      <c r="Q331" s="96"/>
      <c r="R331" s="96"/>
      <c r="S331" s="96"/>
      <c r="T331" s="96"/>
      <c r="U331" s="96"/>
      <c r="V331" s="96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1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96"/>
      <c r="P332" s="96"/>
      <c r="Q332" s="96"/>
      <c r="R332" s="96"/>
      <c r="S332" s="96"/>
      <c r="T332" s="96"/>
      <c r="U332" s="96"/>
      <c r="V332" s="96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1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96"/>
      <c r="P333" s="96"/>
      <c r="Q333" s="96"/>
      <c r="R333" s="96"/>
      <c r="S333" s="96"/>
      <c r="T333" s="96"/>
      <c r="U333" s="96"/>
      <c r="V333" s="96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1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96"/>
      <c r="P334" s="96"/>
      <c r="Q334" s="96"/>
      <c r="R334" s="96"/>
      <c r="S334" s="96"/>
      <c r="T334" s="96"/>
      <c r="U334" s="96"/>
      <c r="V334" s="96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96"/>
      <c r="P335" s="96"/>
      <c r="Q335" s="96"/>
      <c r="R335" s="96"/>
      <c r="S335" s="96"/>
      <c r="T335" s="96"/>
      <c r="U335" s="96"/>
      <c r="V335" s="96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1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96"/>
      <c r="P336" s="96"/>
      <c r="Q336" s="96"/>
      <c r="R336" s="96"/>
      <c r="S336" s="96"/>
      <c r="T336" s="96"/>
      <c r="U336" s="96"/>
      <c r="V336" s="96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1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96"/>
      <c r="P337" s="96"/>
      <c r="Q337" s="96"/>
      <c r="R337" s="96"/>
      <c r="S337" s="96"/>
      <c r="T337" s="96"/>
      <c r="U337" s="96"/>
      <c r="V337" s="96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1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96"/>
      <c r="P338" s="96"/>
      <c r="Q338" s="96"/>
      <c r="R338" s="96"/>
      <c r="S338" s="96"/>
      <c r="T338" s="96"/>
      <c r="U338" s="96"/>
      <c r="V338" s="96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1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96"/>
      <c r="P339" s="96"/>
      <c r="Q339" s="96"/>
      <c r="R339" s="96"/>
      <c r="S339" s="96"/>
      <c r="T339" s="96"/>
      <c r="U339" s="96"/>
      <c r="V339" s="96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1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96"/>
      <c r="P340" s="96"/>
      <c r="Q340" s="96"/>
      <c r="R340" s="96"/>
      <c r="S340" s="96"/>
      <c r="T340" s="96"/>
      <c r="U340" s="96"/>
      <c r="V340" s="96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1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96"/>
      <c r="P341" s="96"/>
      <c r="Q341" s="96"/>
      <c r="R341" s="96"/>
      <c r="S341" s="96"/>
      <c r="T341" s="96"/>
      <c r="U341" s="96"/>
      <c r="V341" s="96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1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96"/>
      <c r="P342" s="96"/>
      <c r="Q342" s="96"/>
      <c r="R342" s="96"/>
      <c r="S342" s="96"/>
      <c r="T342" s="96"/>
      <c r="U342" s="96"/>
      <c r="V342" s="96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1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96"/>
      <c r="P343" s="96"/>
      <c r="Q343" s="96"/>
      <c r="R343" s="96"/>
      <c r="S343" s="96"/>
      <c r="T343" s="96"/>
      <c r="U343" s="96"/>
      <c r="V343" s="96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96"/>
      <c r="P344" s="96"/>
      <c r="Q344" s="96"/>
      <c r="R344" s="96"/>
      <c r="S344" s="96"/>
      <c r="T344" s="96"/>
      <c r="U344" s="96"/>
      <c r="V344" s="96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96"/>
      <c r="P345" s="96"/>
      <c r="Q345" s="96"/>
      <c r="R345" s="96"/>
      <c r="S345" s="96"/>
      <c r="T345" s="96"/>
      <c r="U345" s="96"/>
      <c r="V345" s="96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96"/>
      <c r="P346" s="96"/>
      <c r="Q346" s="96"/>
      <c r="R346" s="96"/>
      <c r="S346" s="96"/>
      <c r="T346" s="96"/>
      <c r="U346" s="96"/>
      <c r="V346" s="96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1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96"/>
      <c r="P347" s="96"/>
      <c r="Q347" s="96"/>
      <c r="R347" s="96"/>
      <c r="S347" s="96"/>
      <c r="T347" s="96"/>
      <c r="U347" s="96"/>
      <c r="V347" s="96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1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96"/>
      <c r="P348" s="96"/>
      <c r="Q348" s="96"/>
      <c r="R348" s="96"/>
      <c r="S348" s="96"/>
      <c r="T348" s="96"/>
      <c r="U348" s="96"/>
      <c r="V348" s="96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1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96"/>
      <c r="P349" s="96"/>
      <c r="Q349" s="96"/>
      <c r="R349" s="96"/>
      <c r="S349" s="96"/>
      <c r="T349" s="96"/>
      <c r="U349" s="96"/>
      <c r="V349" s="96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1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96"/>
      <c r="P350" s="96"/>
      <c r="Q350" s="96"/>
      <c r="R350" s="96"/>
      <c r="S350" s="96"/>
      <c r="T350" s="96"/>
      <c r="U350" s="96"/>
      <c r="V350" s="96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1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96"/>
      <c r="P351" s="96"/>
      <c r="Q351" s="96"/>
      <c r="R351" s="96"/>
      <c r="S351" s="96"/>
      <c r="T351" s="96"/>
      <c r="U351" s="96"/>
      <c r="V351" s="96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1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96"/>
      <c r="P352" s="96"/>
      <c r="Q352" s="96"/>
      <c r="R352" s="96"/>
      <c r="S352" s="96"/>
      <c r="T352" s="96"/>
      <c r="U352" s="96"/>
      <c r="V352" s="96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1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96"/>
      <c r="P353" s="96"/>
      <c r="Q353" s="96"/>
      <c r="R353" s="96"/>
      <c r="S353" s="96"/>
      <c r="T353" s="96"/>
      <c r="U353" s="96"/>
      <c r="V353" s="96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1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96"/>
      <c r="P354" s="96"/>
      <c r="Q354" s="96"/>
      <c r="R354" s="96"/>
      <c r="S354" s="96"/>
      <c r="T354" s="96"/>
      <c r="U354" s="96"/>
      <c r="V354" s="96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1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96"/>
      <c r="P355" s="96"/>
      <c r="Q355" s="96"/>
      <c r="R355" s="96"/>
      <c r="S355" s="96"/>
      <c r="T355" s="96"/>
      <c r="U355" s="96"/>
      <c r="V355" s="96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1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96"/>
      <c r="P356" s="96"/>
      <c r="Q356" s="96"/>
      <c r="R356" s="96"/>
      <c r="S356" s="96"/>
      <c r="T356" s="96"/>
      <c r="U356" s="96"/>
      <c r="V356" s="96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1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96"/>
      <c r="P357" s="96"/>
      <c r="Q357" s="96"/>
      <c r="R357" s="96"/>
      <c r="S357" s="96"/>
      <c r="T357" s="96"/>
      <c r="U357" s="96"/>
      <c r="V357" s="96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1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96"/>
      <c r="P358" s="96"/>
      <c r="Q358" s="96"/>
      <c r="R358" s="96"/>
      <c r="S358" s="96"/>
      <c r="T358" s="96"/>
      <c r="U358" s="96"/>
      <c r="V358" s="96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1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96"/>
      <c r="P359" s="96"/>
      <c r="Q359" s="96"/>
      <c r="R359" s="96"/>
      <c r="S359" s="96"/>
      <c r="T359" s="96"/>
      <c r="U359" s="96"/>
      <c r="V359" s="96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1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96"/>
      <c r="P360" s="96"/>
      <c r="Q360" s="96"/>
      <c r="R360" s="96"/>
      <c r="S360" s="96"/>
      <c r="T360" s="96"/>
      <c r="U360" s="96"/>
      <c r="V360" s="96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1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96"/>
      <c r="P361" s="96"/>
      <c r="Q361" s="96"/>
      <c r="R361" s="96"/>
      <c r="S361" s="96"/>
      <c r="T361" s="96"/>
      <c r="U361" s="96"/>
      <c r="V361" s="96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1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96"/>
      <c r="P362" s="96"/>
      <c r="Q362" s="96"/>
      <c r="R362" s="96"/>
      <c r="S362" s="96"/>
      <c r="T362" s="96"/>
      <c r="U362" s="96"/>
      <c r="V362" s="96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1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96"/>
      <c r="P363" s="96"/>
      <c r="Q363" s="96"/>
      <c r="R363" s="96"/>
      <c r="S363" s="96"/>
      <c r="T363" s="96"/>
      <c r="U363" s="96"/>
      <c r="V363" s="96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96"/>
      <c r="P364" s="96"/>
      <c r="Q364" s="96"/>
      <c r="R364" s="96"/>
      <c r="S364" s="96"/>
      <c r="T364" s="96"/>
      <c r="U364" s="96"/>
      <c r="V364" s="96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1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96"/>
      <c r="P365" s="96"/>
      <c r="Q365" s="96"/>
      <c r="R365" s="96"/>
      <c r="S365" s="96"/>
      <c r="T365" s="96"/>
      <c r="U365" s="96"/>
      <c r="V365" s="96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1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96"/>
      <c r="P366" s="96"/>
      <c r="Q366" s="96"/>
      <c r="R366" s="96"/>
      <c r="S366" s="96"/>
      <c r="T366" s="96"/>
      <c r="U366" s="96"/>
      <c r="V366" s="96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1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96"/>
      <c r="P367" s="96"/>
      <c r="Q367" s="96"/>
      <c r="R367" s="96"/>
      <c r="S367" s="96"/>
      <c r="T367" s="96"/>
      <c r="U367" s="96"/>
      <c r="V367" s="96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1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96"/>
      <c r="P368" s="96"/>
      <c r="Q368" s="96"/>
      <c r="R368" s="96"/>
      <c r="S368" s="96"/>
      <c r="T368" s="96"/>
      <c r="U368" s="96"/>
      <c r="V368" s="96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1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96"/>
      <c r="P369" s="96"/>
      <c r="Q369" s="96"/>
      <c r="R369" s="96"/>
      <c r="S369" s="96"/>
      <c r="T369" s="96"/>
      <c r="U369" s="96"/>
      <c r="V369" s="96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1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96"/>
      <c r="P370" s="96"/>
      <c r="Q370" s="96"/>
      <c r="R370" s="96"/>
      <c r="S370" s="96"/>
      <c r="T370" s="96"/>
      <c r="U370" s="96"/>
      <c r="V370" s="96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1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96"/>
      <c r="P371" s="96"/>
      <c r="Q371" s="96"/>
      <c r="R371" s="96"/>
      <c r="S371" s="96"/>
      <c r="T371" s="96"/>
      <c r="U371" s="96"/>
      <c r="V371" s="96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96"/>
      <c r="P372" s="96"/>
      <c r="Q372" s="96"/>
      <c r="R372" s="96"/>
      <c r="S372" s="96"/>
      <c r="T372" s="96"/>
      <c r="U372" s="96"/>
      <c r="V372" s="96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96"/>
      <c r="P373" s="96"/>
      <c r="Q373" s="96"/>
      <c r="R373" s="96"/>
      <c r="S373" s="96"/>
      <c r="T373" s="96"/>
      <c r="U373" s="96"/>
      <c r="V373" s="96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96"/>
      <c r="P374" s="96"/>
      <c r="Q374" s="96"/>
      <c r="R374" s="96"/>
      <c r="S374" s="96"/>
      <c r="T374" s="96"/>
      <c r="U374" s="96"/>
      <c r="V374" s="96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1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96"/>
      <c r="P375" s="96"/>
      <c r="Q375" s="96"/>
      <c r="R375" s="96"/>
      <c r="S375" s="96"/>
      <c r="T375" s="96"/>
      <c r="U375" s="96"/>
      <c r="V375" s="96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1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96"/>
      <c r="P376" s="96"/>
      <c r="Q376" s="96"/>
      <c r="R376" s="96"/>
      <c r="S376" s="96"/>
      <c r="T376" s="96"/>
      <c r="U376" s="96"/>
      <c r="V376" s="96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1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96"/>
      <c r="P377" s="96"/>
      <c r="Q377" s="96"/>
      <c r="R377" s="96"/>
      <c r="S377" s="96"/>
      <c r="T377" s="96"/>
      <c r="U377" s="96"/>
      <c r="V377" s="96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1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96"/>
      <c r="P378" s="96"/>
      <c r="Q378" s="96"/>
      <c r="R378" s="96"/>
      <c r="S378" s="96"/>
      <c r="T378" s="96"/>
      <c r="U378" s="96"/>
      <c r="V378" s="96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1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96"/>
      <c r="P379" s="96"/>
      <c r="Q379" s="96"/>
      <c r="R379" s="96"/>
      <c r="S379" s="96"/>
      <c r="T379" s="96"/>
      <c r="U379" s="96"/>
      <c r="V379" s="96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1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96"/>
      <c r="P380" s="96"/>
      <c r="Q380" s="96"/>
      <c r="R380" s="96"/>
      <c r="S380" s="96"/>
      <c r="T380" s="96"/>
      <c r="U380" s="96"/>
      <c r="V380" s="96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1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96"/>
      <c r="P381" s="96"/>
      <c r="Q381" s="96"/>
      <c r="R381" s="96"/>
      <c r="S381" s="96"/>
      <c r="T381" s="96"/>
      <c r="U381" s="96"/>
      <c r="V381" s="96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1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96"/>
      <c r="P382" s="96"/>
      <c r="Q382" s="96"/>
      <c r="R382" s="96"/>
      <c r="S382" s="96"/>
      <c r="T382" s="96"/>
      <c r="U382" s="96"/>
      <c r="V382" s="96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1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96"/>
      <c r="P383" s="96"/>
      <c r="Q383" s="96"/>
      <c r="R383" s="96"/>
      <c r="S383" s="96"/>
      <c r="T383" s="96"/>
      <c r="U383" s="96"/>
      <c r="V383" s="96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1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96"/>
      <c r="P384" s="96"/>
      <c r="Q384" s="96"/>
      <c r="R384" s="96"/>
      <c r="S384" s="96"/>
      <c r="T384" s="96"/>
      <c r="U384" s="96"/>
      <c r="V384" s="96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1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96"/>
      <c r="P385" s="96"/>
      <c r="Q385" s="96"/>
      <c r="R385" s="96"/>
      <c r="S385" s="96"/>
      <c r="T385" s="96"/>
      <c r="U385" s="96"/>
      <c r="V385" s="96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1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96"/>
      <c r="P386" s="96"/>
      <c r="Q386" s="96"/>
      <c r="R386" s="96"/>
      <c r="S386" s="96"/>
      <c r="T386" s="96"/>
      <c r="U386" s="96"/>
      <c r="V386" s="96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1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96"/>
      <c r="P387" s="96"/>
      <c r="Q387" s="96"/>
      <c r="R387" s="96"/>
      <c r="S387" s="96"/>
      <c r="T387" s="96"/>
      <c r="U387" s="96"/>
      <c r="V387" s="96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1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96"/>
      <c r="P388" s="96"/>
      <c r="Q388" s="96"/>
      <c r="R388" s="96"/>
      <c r="S388" s="96"/>
      <c r="T388" s="96"/>
      <c r="U388" s="96"/>
      <c r="V388" s="96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96"/>
      <c r="P389" s="96"/>
      <c r="Q389" s="96"/>
      <c r="R389" s="96"/>
      <c r="S389" s="96"/>
      <c r="T389" s="96"/>
      <c r="U389" s="96"/>
      <c r="V389" s="96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1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96"/>
      <c r="P390" s="96"/>
      <c r="Q390" s="96"/>
      <c r="R390" s="96"/>
      <c r="S390" s="96"/>
      <c r="T390" s="96"/>
      <c r="U390" s="96"/>
      <c r="V390" s="96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1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96"/>
      <c r="P391" s="96"/>
      <c r="Q391" s="96"/>
      <c r="R391" s="96"/>
      <c r="S391" s="96"/>
      <c r="T391" s="96"/>
      <c r="U391" s="96"/>
      <c r="V391" s="96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1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96"/>
      <c r="P392" s="96"/>
      <c r="Q392" s="96"/>
      <c r="R392" s="96"/>
      <c r="S392" s="96"/>
      <c r="T392" s="96"/>
      <c r="U392" s="96"/>
      <c r="V392" s="96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1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96"/>
      <c r="P393" s="96"/>
      <c r="Q393" s="96"/>
      <c r="R393" s="96"/>
      <c r="S393" s="96"/>
      <c r="T393" s="96"/>
      <c r="U393" s="96"/>
      <c r="V393" s="96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1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96"/>
      <c r="P394" s="96"/>
      <c r="Q394" s="96"/>
      <c r="R394" s="96"/>
      <c r="S394" s="96"/>
      <c r="T394" s="96"/>
      <c r="U394" s="96"/>
      <c r="V394" s="96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96"/>
      <c r="P395" s="96"/>
      <c r="Q395" s="96"/>
      <c r="R395" s="96"/>
      <c r="S395" s="96"/>
      <c r="T395" s="96"/>
      <c r="U395" s="96"/>
      <c r="V395" s="96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1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96"/>
      <c r="P396" s="96"/>
      <c r="Q396" s="96"/>
      <c r="R396" s="96"/>
      <c r="S396" s="96"/>
      <c r="T396" s="96"/>
      <c r="U396" s="96"/>
      <c r="V396" s="96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1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96"/>
      <c r="P397" s="96"/>
      <c r="Q397" s="96"/>
      <c r="R397" s="96"/>
      <c r="S397" s="96"/>
      <c r="T397" s="96"/>
      <c r="U397" s="96"/>
      <c r="V397" s="96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1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96"/>
      <c r="P398" s="96"/>
      <c r="Q398" s="96"/>
      <c r="R398" s="96"/>
      <c r="S398" s="96"/>
      <c r="T398" s="96"/>
      <c r="U398" s="96"/>
      <c r="V398" s="96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1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96"/>
      <c r="P399" s="96"/>
      <c r="Q399" s="96"/>
      <c r="R399" s="96"/>
      <c r="S399" s="96"/>
      <c r="T399" s="96"/>
      <c r="U399" s="96"/>
      <c r="V399" s="96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96"/>
      <c r="P400" s="96"/>
      <c r="Q400" s="96"/>
      <c r="R400" s="96"/>
      <c r="S400" s="96"/>
      <c r="T400" s="96"/>
      <c r="U400" s="96"/>
      <c r="V400" s="96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96"/>
      <c r="P401" s="96"/>
      <c r="Q401" s="96"/>
      <c r="R401" s="96"/>
      <c r="S401" s="96"/>
      <c r="T401" s="96"/>
      <c r="U401" s="96"/>
      <c r="V401" s="96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96"/>
      <c r="P402" s="96"/>
      <c r="Q402" s="96"/>
      <c r="R402" s="96"/>
      <c r="S402" s="96"/>
      <c r="T402" s="96"/>
      <c r="U402" s="96"/>
      <c r="V402" s="96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1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96"/>
      <c r="P403" s="96"/>
      <c r="Q403" s="96"/>
      <c r="R403" s="96"/>
      <c r="S403" s="96"/>
      <c r="T403" s="96"/>
      <c r="U403" s="96"/>
      <c r="V403" s="96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1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96"/>
      <c r="P404" s="96"/>
      <c r="Q404" s="96"/>
      <c r="R404" s="96"/>
      <c r="S404" s="96"/>
      <c r="T404" s="96"/>
      <c r="U404" s="96"/>
      <c r="V404" s="96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1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96"/>
      <c r="P405" s="96"/>
      <c r="Q405" s="96"/>
      <c r="R405" s="96"/>
      <c r="S405" s="96"/>
      <c r="T405" s="96"/>
      <c r="U405" s="96"/>
      <c r="V405" s="96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1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96"/>
      <c r="P406" s="96"/>
      <c r="Q406" s="96"/>
      <c r="R406" s="96"/>
      <c r="S406" s="96"/>
      <c r="T406" s="96"/>
      <c r="U406" s="96"/>
      <c r="V406" s="96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1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96"/>
      <c r="P407" s="96"/>
      <c r="Q407" s="96"/>
      <c r="R407" s="96"/>
      <c r="S407" s="96"/>
      <c r="T407" s="96"/>
      <c r="U407" s="96"/>
      <c r="V407" s="96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1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96"/>
      <c r="P408" s="96"/>
      <c r="Q408" s="96"/>
      <c r="R408" s="96"/>
      <c r="S408" s="96"/>
      <c r="T408" s="96"/>
      <c r="U408" s="96"/>
      <c r="V408" s="96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1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96"/>
      <c r="P409" s="96"/>
      <c r="Q409" s="96"/>
      <c r="R409" s="96"/>
      <c r="S409" s="96"/>
      <c r="T409" s="96"/>
      <c r="U409" s="96"/>
      <c r="V409" s="96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1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96"/>
      <c r="P410" s="96"/>
      <c r="Q410" s="96"/>
      <c r="R410" s="96"/>
      <c r="S410" s="96"/>
      <c r="T410" s="96"/>
      <c r="U410" s="96"/>
      <c r="V410" s="96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1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96"/>
      <c r="P411" s="96"/>
      <c r="Q411" s="96"/>
      <c r="R411" s="96"/>
      <c r="S411" s="96"/>
      <c r="T411" s="96"/>
      <c r="U411" s="96"/>
      <c r="V411" s="96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1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96"/>
      <c r="P412" s="96"/>
      <c r="Q412" s="96"/>
      <c r="R412" s="96"/>
      <c r="S412" s="96"/>
      <c r="T412" s="96"/>
      <c r="U412" s="96"/>
      <c r="V412" s="96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1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96"/>
      <c r="P413" s="96"/>
      <c r="Q413" s="96"/>
      <c r="R413" s="96"/>
      <c r="S413" s="96"/>
      <c r="T413" s="96"/>
      <c r="U413" s="96"/>
      <c r="V413" s="96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1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96"/>
      <c r="P414" s="96"/>
      <c r="Q414" s="96"/>
      <c r="R414" s="96"/>
      <c r="S414" s="96"/>
      <c r="T414" s="96"/>
      <c r="U414" s="96"/>
      <c r="V414" s="96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1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96"/>
      <c r="P415" s="96"/>
      <c r="Q415" s="96"/>
      <c r="R415" s="96"/>
      <c r="S415" s="96"/>
      <c r="T415" s="96"/>
      <c r="U415" s="96"/>
      <c r="V415" s="96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96"/>
      <c r="P416" s="96"/>
      <c r="Q416" s="96"/>
      <c r="R416" s="96"/>
      <c r="S416" s="96"/>
      <c r="T416" s="96"/>
      <c r="U416" s="96"/>
      <c r="V416" s="96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96"/>
      <c r="P417" s="96"/>
      <c r="Q417" s="96"/>
      <c r="R417" s="96"/>
      <c r="S417" s="96"/>
      <c r="T417" s="96"/>
      <c r="U417" s="96"/>
      <c r="V417" s="96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1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96"/>
      <c r="P418" s="96"/>
      <c r="Q418" s="96"/>
      <c r="R418" s="96"/>
      <c r="S418" s="96"/>
      <c r="T418" s="96"/>
      <c r="U418" s="96"/>
      <c r="V418" s="96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1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96"/>
      <c r="P419" s="96"/>
      <c r="Q419" s="96"/>
      <c r="R419" s="96"/>
      <c r="S419" s="96"/>
      <c r="T419" s="96"/>
      <c r="U419" s="96"/>
      <c r="V419" s="96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1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96"/>
      <c r="P420" s="96"/>
      <c r="Q420" s="96"/>
      <c r="R420" s="96"/>
      <c r="S420" s="96"/>
      <c r="T420" s="96"/>
      <c r="U420" s="96"/>
      <c r="V420" s="96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1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96"/>
      <c r="P421" s="96"/>
      <c r="Q421" s="96"/>
      <c r="R421" s="96"/>
      <c r="S421" s="96"/>
      <c r="T421" s="96"/>
      <c r="U421" s="96"/>
      <c r="V421" s="96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1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96"/>
      <c r="P422" s="96"/>
      <c r="Q422" s="96"/>
      <c r="R422" s="96"/>
      <c r="S422" s="96"/>
      <c r="T422" s="96"/>
      <c r="U422" s="96"/>
      <c r="V422" s="96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1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96"/>
      <c r="P423" s="96"/>
      <c r="Q423" s="96"/>
      <c r="R423" s="96"/>
      <c r="S423" s="96"/>
      <c r="T423" s="96"/>
      <c r="U423" s="96"/>
      <c r="V423" s="96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96"/>
      <c r="P424" s="96"/>
      <c r="Q424" s="96"/>
      <c r="R424" s="96"/>
      <c r="S424" s="96"/>
      <c r="T424" s="96"/>
      <c r="U424" s="96"/>
      <c r="V424" s="96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1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96"/>
      <c r="P425" s="96"/>
      <c r="Q425" s="96"/>
      <c r="R425" s="96"/>
      <c r="S425" s="96"/>
      <c r="T425" s="96"/>
      <c r="U425" s="96"/>
      <c r="V425" s="96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1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96"/>
      <c r="P426" s="96"/>
      <c r="Q426" s="96"/>
      <c r="R426" s="96"/>
      <c r="S426" s="96"/>
      <c r="T426" s="96"/>
      <c r="U426" s="96"/>
      <c r="V426" s="96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1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96"/>
      <c r="P427" s="96"/>
      <c r="Q427" s="96"/>
      <c r="R427" s="96"/>
      <c r="S427" s="96"/>
      <c r="T427" s="96"/>
      <c r="U427" s="96"/>
      <c r="V427" s="96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1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96"/>
      <c r="P428" s="96"/>
      <c r="Q428" s="96"/>
      <c r="R428" s="96"/>
      <c r="S428" s="96"/>
      <c r="T428" s="96"/>
      <c r="U428" s="96"/>
      <c r="V428" s="96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1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96"/>
      <c r="P429" s="96"/>
      <c r="Q429" s="96"/>
      <c r="R429" s="96"/>
      <c r="S429" s="96"/>
      <c r="T429" s="96"/>
      <c r="U429" s="96"/>
      <c r="V429" s="96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1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96"/>
      <c r="P430" s="96"/>
      <c r="Q430" s="96"/>
      <c r="R430" s="96"/>
      <c r="S430" s="96"/>
      <c r="T430" s="96"/>
      <c r="U430" s="96"/>
      <c r="V430" s="96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1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96"/>
      <c r="P431" s="96"/>
      <c r="Q431" s="96"/>
      <c r="R431" s="96"/>
      <c r="S431" s="96"/>
      <c r="T431" s="96"/>
      <c r="U431" s="96"/>
      <c r="V431" s="96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1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96"/>
      <c r="P432" s="96"/>
      <c r="Q432" s="96"/>
      <c r="R432" s="96"/>
      <c r="S432" s="96"/>
      <c r="T432" s="96"/>
      <c r="U432" s="96"/>
      <c r="V432" s="96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1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96"/>
      <c r="P433" s="96"/>
      <c r="Q433" s="96"/>
      <c r="R433" s="96"/>
      <c r="S433" s="96"/>
      <c r="T433" s="96"/>
      <c r="U433" s="96"/>
      <c r="V433" s="96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1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96"/>
      <c r="P434" s="96"/>
      <c r="Q434" s="96"/>
      <c r="R434" s="96"/>
      <c r="S434" s="96"/>
      <c r="T434" s="96"/>
      <c r="U434" s="96"/>
      <c r="V434" s="96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1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96"/>
      <c r="P435" s="96"/>
      <c r="Q435" s="96"/>
      <c r="R435" s="96"/>
      <c r="S435" s="96"/>
      <c r="T435" s="96"/>
      <c r="U435" s="96"/>
      <c r="V435" s="96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1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96"/>
      <c r="P436" s="96"/>
      <c r="Q436" s="96"/>
      <c r="R436" s="96"/>
      <c r="S436" s="96"/>
      <c r="T436" s="96"/>
      <c r="U436" s="96"/>
      <c r="V436" s="96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1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96"/>
      <c r="P437" s="96"/>
      <c r="Q437" s="96"/>
      <c r="R437" s="96"/>
      <c r="S437" s="96"/>
      <c r="T437" s="96"/>
      <c r="U437" s="96"/>
      <c r="V437" s="96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96"/>
      <c r="P438" s="96"/>
      <c r="Q438" s="96"/>
      <c r="R438" s="96"/>
      <c r="S438" s="96"/>
      <c r="T438" s="96"/>
      <c r="U438" s="96"/>
      <c r="V438" s="96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96"/>
      <c r="P439" s="96"/>
      <c r="Q439" s="96"/>
      <c r="R439" s="96"/>
      <c r="S439" s="96"/>
      <c r="T439" s="96"/>
      <c r="U439" s="96"/>
      <c r="V439" s="96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96"/>
      <c r="P440" s="96"/>
      <c r="Q440" s="96"/>
      <c r="R440" s="96"/>
      <c r="S440" s="96"/>
      <c r="T440" s="96"/>
      <c r="U440" s="96"/>
      <c r="V440" s="96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1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96"/>
      <c r="P441" s="96"/>
      <c r="Q441" s="96"/>
      <c r="R441" s="96"/>
      <c r="S441" s="96"/>
      <c r="T441" s="96"/>
      <c r="U441" s="96"/>
      <c r="V441" s="96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1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96"/>
      <c r="P442" s="96"/>
      <c r="Q442" s="96"/>
      <c r="R442" s="96"/>
      <c r="S442" s="96"/>
      <c r="T442" s="96"/>
      <c r="U442" s="96"/>
      <c r="V442" s="96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1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96"/>
      <c r="P443" s="96"/>
      <c r="Q443" s="96"/>
      <c r="R443" s="96"/>
      <c r="S443" s="96"/>
      <c r="T443" s="96"/>
      <c r="U443" s="96"/>
      <c r="V443" s="96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1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96"/>
      <c r="P444" s="96"/>
      <c r="Q444" s="96"/>
      <c r="R444" s="96"/>
      <c r="S444" s="96"/>
      <c r="T444" s="96"/>
      <c r="U444" s="96"/>
      <c r="V444" s="96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1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96"/>
      <c r="P445" s="96"/>
      <c r="Q445" s="96"/>
      <c r="R445" s="96"/>
      <c r="S445" s="96"/>
      <c r="T445" s="96"/>
      <c r="U445" s="96"/>
      <c r="V445" s="96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1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96"/>
      <c r="P446" s="96"/>
      <c r="Q446" s="96"/>
      <c r="R446" s="96"/>
      <c r="S446" s="96"/>
      <c r="T446" s="96"/>
      <c r="U446" s="96"/>
      <c r="V446" s="96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1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96"/>
      <c r="P447" s="96"/>
      <c r="Q447" s="96"/>
      <c r="R447" s="96"/>
      <c r="S447" s="96"/>
      <c r="T447" s="96"/>
      <c r="U447" s="96"/>
      <c r="V447" s="96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1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96"/>
      <c r="P448" s="96"/>
      <c r="Q448" s="96"/>
      <c r="R448" s="96"/>
      <c r="S448" s="96"/>
      <c r="T448" s="96"/>
      <c r="U448" s="96"/>
      <c r="V448" s="96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1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96"/>
      <c r="P449" s="96"/>
      <c r="Q449" s="96"/>
      <c r="R449" s="96"/>
      <c r="S449" s="96"/>
      <c r="T449" s="96"/>
      <c r="U449" s="96"/>
      <c r="V449" s="96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1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96"/>
      <c r="P450" s="96"/>
      <c r="Q450" s="96"/>
      <c r="R450" s="96"/>
      <c r="S450" s="96"/>
      <c r="T450" s="96"/>
      <c r="U450" s="96"/>
      <c r="V450" s="96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1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96"/>
      <c r="P451" s="96"/>
      <c r="Q451" s="96"/>
      <c r="R451" s="96"/>
      <c r="S451" s="96"/>
      <c r="T451" s="96"/>
      <c r="U451" s="96"/>
      <c r="V451" s="96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1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96"/>
      <c r="P452" s="96"/>
      <c r="Q452" s="96"/>
      <c r="R452" s="96"/>
      <c r="S452" s="96"/>
      <c r="T452" s="96"/>
      <c r="U452" s="96"/>
      <c r="V452" s="96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1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96"/>
      <c r="P453" s="96"/>
      <c r="Q453" s="96"/>
      <c r="R453" s="96"/>
      <c r="S453" s="96"/>
      <c r="T453" s="96"/>
      <c r="U453" s="96"/>
      <c r="V453" s="96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1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96"/>
      <c r="P454" s="96"/>
      <c r="Q454" s="96"/>
      <c r="R454" s="96"/>
      <c r="S454" s="96"/>
      <c r="T454" s="96"/>
      <c r="U454" s="96"/>
      <c r="V454" s="96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96"/>
      <c r="P455" s="96"/>
      <c r="Q455" s="96"/>
      <c r="R455" s="96"/>
      <c r="S455" s="96"/>
      <c r="T455" s="96"/>
      <c r="U455" s="96"/>
      <c r="V455" s="96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1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96"/>
      <c r="P456" s="96"/>
      <c r="Q456" s="96"/>
      <c r="R456" s="96"/>
      <c r="S456" s="96"/>
      <c r="T456" s="96"/>
      <c r="U456" s="96"/>
      <c r="V456" s="96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1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96"/>
      <c r="P457" s="96"/>
      <c r="Q457" s="96"/>
      <c r="R457" s="96"/>
      <c r="S457" s="96"/>
      <c r="T457" s="96"/>
      <c r="U457" s="96"/>
      <c r="V457" s="96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1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96"/>
      <c r="P458" s="96"/>
      <c r="Q458" s="96"/>
      <c r="R458" s="96"/>
      <c r="S458" s="96"/>
      <c r="T458" s="96"/>
      <c r="U458" s="96"/>
      <c r="V458" s="96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1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96"/>
      <c r="P459" s="96"/>
      <c r="Q459" s="96"/>
      <c r="R459" s="96"/>
      <c r="S459" s="96"/>
      <c r="T459" s="96"/>
      <c r="U459" s="96"/>
      <c r="V459" s="96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1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96"/>
      <c r="P460" s="96"/>
      <c r="Q460" s="96"/>
      <c r="R460" s="96"/>
      <c r="S460" s="96"/>
      <c r="T460" s="96"/>
      <c r="U460" s="96"/>
      <c r="V460" s="96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1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96"/>
      <c r="P461" s="96"/>
      <c r="Q461" s="96"/>
      <c r="R461" s="96"/>
      <c r="S461" s="96"/>
      <c r="T461" s="96"/>
      <c r="U461" s="96"/>
      <c r="V461" s="96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1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96"/>
      <c r="P462" s="96"/>
      <c r="Q462" s="96"/>
      <c r="R462" s="96"/>
      <c r="S462" s="96"/>
      <c r="T462" s="96"/>
      <c r="U462" s="96"/>
      <c r="V462" s="96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1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96"/>
      <c r="P463" s="96"/>
      <c r="Q463" s="96"/>
      <c r="R463" s="96"/>
      <c r="S463" s="96"/>
      <c r="T463" s="96"/>
      <c r="U463" s="96"/>
      <c r="V463" s="96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1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96"/>
      <c r="P464" s="96"/>
      <c r="Q464" s="96"/>
      <c r="R464" s="96"/>
      <c r="S464" s="96"/>
      <c r="T464" s="96"/>
      <c r="U464" s="96"/>
      <c r="V464" s="96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1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96"/>
      <c r="P465" s="96"/>
      <c r="Q465" s="96"/>
      <c r="R465" s="96"/>
      <c r="S465" s="96"/>
      <c r="T465" s="96"/>
      <c r="U465" s="96"/>
      <c r="V465" s="96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1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96"/>
      <c r="P466" s="96"/>
      <c r="Q466" s="96"/>
      <c r="R466" s="96"/>
      <c r="S466" s="96"/>
      <c r="T466" s="96"/>
      <c r="U466" s="96"/>
      <c r="V466" s="96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1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96"/>
      <c r="P467" s="96"/>
      <c r="Q467" s="96"/>
      <c r="R467" s="96"/>
      <c r="S467" s="96"/>
      <c r="T467" s="96"/>
      <c r="U467" s="96"/>
      <c r="V467" s="96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1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96"/>
      <c r="P468" s="96"/>
      <c r="Q468" s="96"/>
      <c r="R468" s="96"/>
      <c r="S468" s="96"/>
      <c r="T468" s="96"/>
      <c r="U468" s="96"/>
      <c r="V468" s="96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1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96"/>
      <c r="P469" s="96"/>
      <c r="Q469" s="96"/>
      <c r="R469" s="96"/>
      <c r="S469" s="96"/>
      <c r="T469" s="96"/>
      <c r="U469" s="96"/>
      <c r="V469" s="96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1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96"/>
      <c r="P470" s="96"/>
      <c r="Q470" s="96"/>
      <c r="R470" s="96"/>
      <c r="S470" s="96"/>
      <c r="T470" s="96"/>
      <c r="U470" s="96"/>
      <c r="V470" s="96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1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96"/>
      <c r="P471" s="96"/>
      <c r="Q471" s="96"/>
      <c r="R471" s="96"/>
      <c r="S471" s="96"/>
      <c r="T471" s="96"/>
      <c r="U471" s="96"/>
      <c r="V471" s="96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1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96"/>
      <c r="P472" s="96"/>
      <c r="Q472" s="96"/>
      <c r="R472" s="96"/>
      <c r="S472" s="96"/>
      <c r="T472" s="96"/>
      <c r="U472" s="96"/>
      <c r="V472" s="96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1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96"/>
      <c r="P473" s="96"/>
      <c r="Q473" s="96"/>
      <c r="R473" s="96"/>
      <c r="S473" s="96"/>
      <c r="T473" s="96"/>
      <c r="U473" s="96"/>
      <c r="V473" s="96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1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96"/>
      <c r="P474" s="96"/>
      <c r="Q474" s="96"/>
      <c r="R474" s="96"/>
      <c r="S474" s="96"/>
      <c r="T474" s="96"/>
      <c r="U474" s="96"/>
      <c r="V474" s="96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1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96"/>
      <c r="P475" s="96"/>
      <c r="Q475" s="96"/>
      <c r="R475" s="96"/>
      <c r="S475" s="96"/>
      <c r="T475" s="96"/>
      <c r="U475" s="96"/>
      <c r="V475" s="96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1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96"/>
      <c r="P476" s="96"/>
      <c r="Q476" s="96"/>
      <c r="R476" s="96"/>
      <c r="S476" s="96"/>
      <c r="T476" s="96"/>
      <c r="U476" s="96"/>
      <c r="V476" s="96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1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96"/>
      <c r="P477" s="96"/>
      <c r="Q477" s="96"/>
      <c r="R477" s="96"/>
      <c r="S477" s="96"/>
      <c r="T477" s="96"/>
      <c r="U477" s="96"/>
      <c r="V477" s="96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1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96"/>
      <c r="P478" s="96"/>
      <c r="Q478" s="96"/>
      <c r="R478" s="96"/>
      <c r="S478" s="96"/>
      <c r="T478" s="96"/>
      <c r="U478" s="96"/>
      <c r="V478" s="96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1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96"/>
      <c r="P479" s="96"/>
      <c r="Q479" s="96"/>
      <c r="R479" s="96"/>
      <c r="S479" s="96"/>
      <c r="T479" s="96"/>
      <c r="U479" s="96"/>
      <c r="V479" s="96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1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96"/>
      <c r="P480" s="96"/>
      <c r="Q480" s="96"/>
      <c r="R480" s="96"/>
      <c r="S480" s="96"/>
      <c r="T480" s="96"/>
      <c r="U480" s="96"/>
      <c r="V480" s="96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1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96"/>
      <c r="P481" s="96"/>
      <c r="Q481" s="96"/>
      <c r="R481" s="96"/>
      <c r="S481" s="96"/>
      <c r="T481" s="96"/>
      <c r="U481" s="96"/>
      <c r="V481" s="96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1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96"/>
      <c r="P482" s="96"/>
      <c r="Q482" s="96"/>
      <c r="R482" s="96"/>
      <c r="S482" s="96"/>
      <c r="T482" s="96"/>
      <c r="U482" s="96"/>
      <c r="V482" s="96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1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96"/>
      <c r="P483" s="96"/>
      <c r="Q483" s="96"/>
      <c r="R483" s="96"/>
      <c r="S483" s="96"/>
      <c r="T483" s="96"/>
      <c r="U483" s="96"/>
      <c r="V483" s="96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96"/>
      <c r="P484" s="96"/>
      <c r="Q484" s="96"/>
      <c r="R484" s="96"/>
      <c r="S484" s="96"/>
      <c r="T484" s="96"/>
      <c r="U484" s="96"/>
      <c r="V484" s="96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1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96"/>
      <c r="P485" s="96"/>
      <c r="Q485" s="96"/>
      <c r="R485" s="96"/>
      <c r="S485" s="96"/>
      <c r="T485" s="96"/>
      <c r="U485" s="96"/>
      <c r="V485" s="96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1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96"/>
      <c r="P486" s="96"/>
      <c r="Q486" s="96"/>
      <c r="R486" s="96"/>
      <c r="S486" s="96"/>
      <c r="T486" s="96"/>
      <c r="U486" s="96"/>
      <c r="V486" s="96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1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96"/>
      <c r="P487" s="96"/>
      <c r="Q487" s="96"/>
      <c r="R487" s="96"/>
      <c r="S487" s="96"/>
      <c r="T487" s="96"/>
      <c r="U487" s="96"/>
      <c r="V487" s="96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1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96"/>
      <c r="P488" s="96"/>
      <c r="Q488" s="96"/>
      <c r="R488" s="96"/>
      <c r="S488" s="96"/>
      <c r="T488" s="96"/>
      <c r="U488" s="96"/>
      <c r="V488" s="96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1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96"/>
      <c r="P489" s="96"/>
      <c r="Q489" s="96"/>
      <c r="R489" s="96"/>
      <c r="S489" s="96"/>
      <c r="T489" s="96"/>
      <c r="U489" s="96"/>
      <c r="V489" s="96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1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96"/>
      <c r="P490" s="96"/>
      <c r="Q490" s="96"/>
      <c r="R490" s="96"/>
      <c r="S490" s="96"/>
      <c r="T490" s="96"/>
      <c r="U490" s="96"/>
      <c r="V490" s="96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1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96"/>
      <c r="P491" s="96"/>
      <c r="Q491" s="96"/>
      <c r="R491" s="96"/>
      <c r="S491" s="96"/>
      <c r="T491" s="96"/>
      <c r="U491" s="96"/>
      <c r="V491" s="96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1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96"/>
      <c r="P492" s="96"/>
      <c r="Q492" s="96"/>
      <c r="R492" s="96"/>
      <c r="S492" s="96"/>
      <c r="T492" s="96"/>
      <c r="U492" s="96"/>
      <c r="V492" s="96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1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96"/>
      <c r="P493" s="96"/>
      <c r="Q493" s="96"/>
      <c r="R493" s="96"/>
      <c r="S493" s="96"/>
      <c r="T493" s="96"/>
      <c r="U493" s="96"/>
      <c r="V493" s="96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1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96"/>
      <c r="P494" s="96"/>
      <c r="Q494" s="96"/>
      <c r="R494" s="96"/>
      <c r="S494" s="96"/>
      <c r="T494" s="96"/>
      <c r="U494" s="96"/>
      <c r="V494" s="96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1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96"/>
      <c r="P495" s="96"/>
      <c r="Q495" s="96"/>
      <c r="R495" s="96"/>
      <c r="S495" s="96"/>
      <c r="T495" s="96"/>
      <c r="U495" s="96"/>
      <c r="V495" s="96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1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96"/>
      <c r="P496" s="96"/>
      <c r="Q496" s="96"/>
      <c r="R496" s="96"/>
      <c r="S496" s="96"/>
      <c r="T496" s="96"/>
      <c r="U496" s="96"/>
      <c r="V496" s="96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1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96"/>
      <c r="P497" s="96"/>
      <c r="Q497" s="96"/>
      <c r="R497" s="96"/>
      <c r="S497" s="96"/>
      <c r="T497" s="96"/>
      <c r="U497" s="96"/>
      <c r="V497" s="96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1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96"/>
      <c r="P498" s="96"/>
      <c r="Q498" s="96"/>
      <c r="R498" s="96"/>
      <c r="S498" s="96"/>
      <c r="T498" s="96"/>
      <c r="U498" s="96"/>
      <c r="V498" s="96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1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96"/>
      <c r="P499" s="96"/>
      <c r="Q499" s="96"/>
      <c r="R499" s="96"/>
      <c r="S499" s="96"/>
      <c r="T499" s="96"/>
      <c r="U499" s="96"/>
      <c r="V499" s="96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1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96"/>
      <c r="P500" s="96"/>
      <c r="Q500" s="96"/>
      <c r="R500" s="96"/>
      <c r="S500" s="96"/>
      <c r="T500" s="96"/>
      <c r="U500" s="96"/>
      <c r="V500" s="96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1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96"/>
      <c r="P501" s="96"/>
      <c r="Q501" s="96"/>
      <c r="R501" s="96"/>
      <c r="S501" s="96"/>
      <c r="T501" s="96"/>
      <c r="U501" s="96"/>
      <c r="V501" s="96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1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96"/>
      <c r="P502" s="96"/>
      <c r="Q502" s="96"/>
      <c r="R502" s="96"/>
      <c r="S502" s="96"/>
      <c r="T502" s="96"/>
      <c r="U502" s="96"/>
      <c r="V502" s="96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1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96"/>
      <c r="P503" s="96"/>
      <c r="Q503" s="96"/>
      <c r="R503" s="96"/>
      <c r="S503" s="96"/>
      <c r="T503" s="96"/>
      <c r="U503" s="96"/>
      <c r="V503" s="96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1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96"/>
      <c r="P504" s="96"/>
      <c r="Q504" s="96"/>
      <c r="R504" s="96"/>
      <c r="S504" s="96"/>
      <c r="T504" s="96"/>
      <c r="U504" s="96"/>
      <c r="V504" s="96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1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96"/>
      <c r="P505" s="96"/>
      <c r="Q505" s="96"/>
      <c r="R505" s="96"/>
      <c r="S505" s="96"/>
      <c r="T505" s="96"/>
      <c r="U505" s="96"/>
      <c r="V505" s="96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1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96"/>
      <c r="P506" s="96"/>
      <c r="Q506" s="96"/>
      <c r="R506" s="96"/>
      <c r="S506" s="96"/>
      <c r="T506" s="96"/>
      <c r="U506" s="96"/>
      <c r="V506" s="96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1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96"/>
      <c r="P507" s="96"/>
      <c r="Q507" s="96"/>
      <c r="R507" s="96"/>
      <c r="S507" s="96"/>
      <c r="T507" s="96"/>
      <c r="U507" s="96"/>
      <c r="V507" s="96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1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96"/>
      <c r="P508" s="96"/>
      <c r="Q508" s="96"/>
      <c r="R508" s="96"/>
      <c r="S508" s="96"/>
      <c r="T508" s="96"/>
      <c r="U508" s="96"/>
      <c r="V508" s="96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1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96"/>
      <c r="P509" s="96"/>
      <c r="Q509" s="96"/>
      <c r="R509" s="96"/>
      <c r="S509" s="96"/>
      <c r="T509" s="96"/>
      <c r="U509" s="96"/>
      <c r="V509" s="96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1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96"/>
      <c r="P510" s="96"/>
      <c r="Q510" s="96"/>
      <c r="R510" s="96"/>
      <c r="S510" s="96"/>
      <c r="T510" s="96"/>
      <c r="U510" s="96"/>
      <c r="V510" s="96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1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96"/>
      <c r="P511" s="96"/>
      <c r="Q511" s="96"/>
      <c r="R511" s="96"/>
      <c r="S511" s="96"/>
      <c r="T511" s="96"/>
      <c r="U511" s="96"/>
      <c r="V511" s="96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1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96"/>
      <c r="P512" s="96"/>
      <c r="Q512" s="96"/>
      <c r="R512" s="96"/>
      <c r="S512" s="96"/>
      <c r="T512" s="96"/>
      <c r="U512" s="96"/>
      <c r="V512" s="96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1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96"/>
      <c r="P513" s="96"/>
      <c r="Q513" s="96"/>
      <c r="R513" s="96"/>
      <c r="S513" s="96"/>
      <c r="T513" s="96"/>
      <c r="U513" s="96"/>
      <c r="V513" s="96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1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96"/>
      <c r="P514" s="96"/>
      <c r="Q514" s="96"/>
      <c r="R514" s="96"/>
      <c r="S514" s="96"/>
      <c r="T514" s="96"/>
      <c r="U514" s="96"/>
      <c r="V514" s="96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96"/>
      <c r="P515" s="96"/>
      <c r="Q515" s="96"/>
      <c r="R515" s="96"/>
      <c r="S515" s="96"/>
      <c r="T515" s="96"/>
      <c r="U515" s="96"/>
      <c r="V515" s="96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1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96"/>
      <c r="P516" s="96"/>
      <c r="Q516" s="96"/>
      <c r="R516" s="96"/>
      <c r="S516" s="96"/>
      <c r="T516" s="96"/>
      <c r="U516" s="96"/>
      <c r="V516" s="96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1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96"/>
      <c r="P517" s="96"/>
      <c r="Q517" s="96"/>
      <c r="R517" s="96"/>
      <c r="S517" s="96"/>
      <c r="T517" s="96"/>
      <c r="U517" s="96"/>
      <c r="V517" s="96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1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96"/>
      <c r="P518" s="96"/>
      <c r="Q518" s="96"/>
      <c r="R518" s="96"/>
      <c r="S518" s="96"/>
      <c r="T518" s="96"/>
      <c r="U518" s="96"/>
      <c r="V518" s="96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1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96"/>
      <c r="P519" s="96"/>
      <c r="Q519" s="96"/>
      <c r="R519" s="96"/>
      <c r="S519" s="96"/>
      <c r="T519" s="96"/>
      <c r="U519" s="96"/>
      <c r="V519" s="96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1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96"/>
      <c r="P520" s="96"/>
      <c r="Q520" s="96"/>
      <c r="R520" s="96"/>
      <c r="S520" s="96"/>
      <c r="T520" s="96"/>
      <c r="U520" s="96"/>
      <c r="V520" s="96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1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96"/>
      <c r="P521" s="96"/>
      <c r="Q521" s="96"/>
      <c r="R521" s="96"/>
      <c r="S521" s="96"/>
      <c r="T521" s="96"/>
      <c r="U521" s="96"/>
      <c r="V521" s="96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1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96"/>
      <c r="P522" s="96"/>
      <c r="Q522" s="96"/>
      <c r="R522" s="96"/>
      <c r="S522" s="96"/>
      <c r="T522" s="96"/>
      <c r="U522" s="96"/>
      <c r="V522" s="96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1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96"/>
      <c r="P523" s="96"/>
      <c r="Q523" s="96"/>
      <c r="R523" s="96"/>
      <c r="S523" s="96"/>
      <c r="T523" s="96"/>
      <c r="U523" s="96"/>
      <c r="V523" s="96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1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96"/>
      <c r="P524" s="96"/>
      <c r="Q524" s="96"/>
      <c r="R524" s="96"/>
      <c r="S524" s="96"/>
      <c r="T524" s="96"/>
      <c r="U524" s="96"/>
      <c r="V524" s="96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1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96"/>
      <c r="P525" s="96"/>
      <c r="Q525" s="96"/>
      <c r="R525" s="96"/>
      <c r="S525" s="96"/>
      <c r="T525" s="96"/>
      <c r="U525" s="96"/>
      <c r="V525" s="96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1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96"/>
      <c r="P526" s="96"/>
      <c r="Q526" s="96"/>
      <c r="R526" s="96"/>
      <c r="S526" s="96"/>
      <c r="T526" s="96"/>
      <c r="U526" s="96"/>
      <c r="V526" s="96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1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96"/>
      <c r="P527" s="96"/>
      <c r="Q527" s="96"/>
      <c r="R527" s="96"/>
      <c r="S527" s="96"/>
      <c r="T527" s="96"/>
      <c r="U527" s="96"/>
      <c r="V527" s="96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1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96"/>
      <c r="P528" s="96"/>
      <c r="Q528" s="96"/>
      <c r="R528" s="96"/>
      <c r="S528" s="96"/>
      <c r="T528" s="96"/>
      <c r="U528" s="96"/>
      <c r="V528" s="96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1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96"/>
      <c r="P529" s="96"/>
      <c r="Q529" s="96"/>
      <c r="R529" s="96"/>
      <c r="S529" s="96"/>
      <c r="T529" s="96"/>
      <c r="U529" s="96"/>
      <c r="V529" s="96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1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96"/>
      <c r="P530" s="96"/>
      <c r="Q530" s="96"/>
      <c r="R530" s="96"/>
      <c r="S530" s="96"/>
      <c r="T530" s="96"/>
      <c r="U530" s="96"/>
      <c r="V530" s="96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1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96"/>
      <c r="P531" s="96"/>
      <c r="Q531" s="96"/>
      <c r="R531" s="96"/>
      <c r="S531" s="96"/>
      <c r="T531" s="96"/>
      <c r="U531" s="96"/>
      <c r="V531" s="96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1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96"/>
      <c r="P532" s="96"/>
      <c r="Q532" s="96"/>
      <c r="R532" s="96"/>
      <c r="S532" s="96"/>
      <c r="T532" s="96"/>
      <c r="U532" s="96"/>
      <c r="V532" s="96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1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96"/>
      <c r="P533" s="96"/>
      <c r="Q533" s="96"/>
      <c r="R533" s="96"/>
      <c r="S533" s="96"/>
      <c r="T533" s="96"/>
      <c r="U533" s="96"/>
      <c r="V533" s="96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1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96"/>
      <c r="P534" s="96"/>
      <c r="Q534" s="96"/>
      <c r="R534" s="96"/>
      <c r="S534" s="96"/>
      <c r="T534" s="96"/>
      <c r="U534" s="96"/>
      <c r="V534" s="96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1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96"/>
      <c r="P535" s="96"/>
      <c r="Q535" s="96"/>
      <c r="R535" s="96"/>
      <c r="S535" s="96"/>
      <c r="T535" s="96"/>
      <c r="U535" s="96"/>
      <c r="V535" s="96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1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96"/>
      <c r="P536" s="96"/>
      <c r="Q536" s="96"/>
      <c r="R536" s="96"/>
      <c r="S536" s="96"/>
      <c r="T536" s="96"/>
      <c r="U536" s="96"/>
      <c r="V536" s="96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1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96"/>
      <c r="P537" s="96"/>
      <c r="Q537" s="96"/>
      <c r="R537" s="96"/>
      <c r="S537" s="96"/>
      <c r="T537" s="96"/>
      <c r="U537" s="96"/>
      <c r="V537" s="96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1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96"/>
      <c r="P538" s="96"/>
      <c r="Q538" s="96"/>
      <c r="R538" s="96"/>
      <c r="S538" s="96"/>
      <c r="T538" s="96"/>
      <c r="U538" s="96"/>
      <c r="V538" s="96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1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96"/>
      <c r="P539" s="96"/>
      <c r="Q539" s="96"/>
      <c r="R539" s="96"/>
      <c r="S539" s="96"/>
      <c r="T539" s="96"/>
      <c r="U539" s="96"/>
      <c r="V539" s="96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1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96"/>
      <c r="P540" s="96"/>
      <c r="Q540" s="96"/>
      <c r="R540" s="96"/>
      <c r="S540" s="96"/>
      <c r="T540" s="96"/>
      <c r="U540" s="96"/>
      <c r="V540" s="96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1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96"/>
      <c r="P541" s="96"/>
      <c r="Q541" s="96"/>
      <c r="R541" s="96"/>
      <c r="S541" s="96"/>
      <c r="T541" s="96"/>
      <c r="U541" s="96"/>
      <c r="V541" s="96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1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96"/>
      <c r="P542" s="96"/>
      <c r="Q542" s="96"/>
      <c r="R542" s="96"/>
      <c r="S542" s="96"/>
      <c r="T542" s="96"/>
      <c r="U542" s="96"/>
      <c r="V542" s="96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1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96"/>
      <c r="P543" s="96"/>
      <c r="Q543" s="96"/>
      <c r="R543" s="96"/>
      <c r="S543" s="96"/>
      <c r="T543" s="96"/>
      <c r="U543" s="96"/>
      <c r="V543" s="96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96"/>
      <c r="P544" s="96"/>
      <c r="Q544" s="96"/>
      <c r="R544" s="96"/>
      <c r="S544" s="96"/>
      <c r="T544" s="96"/>
      <c r="U544" s="96"/>
      <c r="V544" s="96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1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96"/>
      <c r="P545" s="96"/>
      <c r="Q545" s="96"/>
      <c r="R545" s="96"/>
      <c r="S545" s="96"/>
      <c r="T545" s="96"/>
      <c r="U545" s="96"/>
      <c r="V545" s="96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1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96"/>
      <c r="P546" s="96"/>
      <c r="Q546" s="96"/>
      <c r="R546" s="96"/>
      <c r="S546" s="96"/>
      <c r="T546" s="96"/>
      <c r="U546" s="96"/>
      <c r="V546" s="96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1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96"/>
      <c r="P547" s="96"/>
      <c r="Q547" s="96"/>
      <c r="R547" s="96"/>
      <c r="S547" s="96"/>
      <c r="T547" s="96"/>
      <c r="U547" s="96"/>
      <c r="V547" s="96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1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96"/>
      <c r="P548" s="96"/>
      <c r="Q548" s="96"/>
      <c r="R548" s="96"/>
      <c r="S548" s="96"/>
      <c r="T548" s="96"/>
      <c r="U548" s="96"/>
      <c r="V548" s="96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1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96"/>
      <c r="P549" s="96"/>
      <c r="Q549" s="96"/>
      <c r="R549" s="96"/>
      <c r="S549" s="96"/>
      <c r="T549" s="96"/>
      <c r="U549" s="96"/>
      <c r="V549" s="96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1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96"/>
      <c r="P550" s="96"/>
      <c r="Q550" s="96"/>
      <c r="R550" s="96"/>
      <c r="S550" s="96"/>
      <c r="T550" s="96"/>
      <c r="U550" s="96"/>
      <c r="V550" s="96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1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96"/>
      <c r="P551" s="96"/>
      <c r="Q551" s="96"/>
      <c r="R551" s="96"/>
      <c r="S551" s="96"/>
      <c r="T551" s="96"/>
      <c r="U551" s="96"/>
      <c r="V551" s="96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1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96"/>
      <c r="P552" s="96"/>
      <c r="Q552" s="96"/>
      <c r="R552" s="96"/>
      <c r="S552" s="96"/>
      <c r="T552" s="96"/>
      <c r="U552" s="96"/>
      <c r="V552" s="96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1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96"/>
      <c r="P553" s="96"/>
      <c r="Q553" s="96"/>
      <c r="R553" s="96"/>
      <c r="S553" s="96"/>
      <c r="T553" s="96"/>
      <c r="U553" s="96"/>
      <c r="V553" s="96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1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96"/>
      <c r="P554" s="96"/>
      <c r="Q554" s="96"/>
      <c r="R554" s="96"/>
      <c r="S554" s="96"/>
      <c r="T554" s="96"/>
      <c r="U554" s="96"/>
      <c r="V554" s="96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1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96"/>
      <c r="P555" s="96"/>
      <c r="Q555" s="96"/>
      <c r="R555" s="96"/>
      <c r="S555" s="96"/>
      <c r="T555" s="96"/>
      <c r="U555" s="96"/>
      <c r="V555" s="96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1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96"/>
      <c r="P556" s="96"/>
      <c r="Q556" s="96"/>
      <c r="R556" s="96"/>
      <c r="S556" s="96"/>
      <c r="T556" s="96"/>
      <c r="U556" s="96"/>
      <c r="V556" s="96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1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96"/>
      <c r="P557" s="96"/>
      <c r="Q557" s="96"/>
      <c r="R557" s="96"/>
      <c r="S557" s="96"/>
      <c r="T557" s="96"/>
      <c r="U557" s="96"/>
      <c r="V557" s="96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1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96"/>
      <c r="P558" s="96"/>
      <c r="Q558" s="96"/>
      <c r="R558" s="96"/>
      <c r="S558" s="96"/>
      <c r="T558" s="96"/>
      <c r="U558" s="96"/>
      <c r="V558" s="96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1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96"/>
      <c r="P559" s="96"/>
      <c r="Q559" s="96"/>
      <c r="R559" s="96"/>
      <c r="S559" s="96"/>
      <c r="T559" s="96"/>
      <c r="U559" s="96"/>
      <c r="V559" s="96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1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96"/>
      <c r="P560" s="96"/>
      <c r="Q560" s="96"/>
      <c r="R560" s="96"/>
      <c r="S560" s="96"/>
      <c r="T560" s="96"/>
      <c r="U560" s="96"/>
      <c r="V560" s="96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1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96"/>
      <c r="P561" s="96"/>
      <c r="Q561" s="96"/>
      <c r="R561" s="96"/>
      <c r="S561" s="96"/>
      <c r="T561" s="96"/>
      <c r="U561" s="96"/>
      <c r="V561" s="96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1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96"/>
      <c r="P562" s="96"/>
      <c r="Q562" s="96"/>
      <c r="R562" s="96"/>
      <c r="S562" s="96"/>
      <c r="T562" s="96"/>
      <c r="U562" s="96"/>
      <c r="V562" s="96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1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96"/>
      <c r="P563" s="96"/>
      <c r="Q563" s="96"/>
      <c r="R563" s="96"/>
      <c r="S563" s="96"/>
      <c r="T563" s="96"/>
      <c r="U563" s="96"/>
      <c r="V563" s="96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1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96"/>
      <c r="P564" s="96"/>
      <c r="Q564" s="96"/>
      <c r="R564" s="96"/>
      <c r="S564" s="96"/>
      <c r="T564" s="96"/>
      <c r="U564" s="96"/>
      <c r="V564" s="96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1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96"/>
      <c r="P565" s="96"/>
      <c r="Q565" s="96"/>
      <c r="R565" s="96"/>
      <c r="S565" s="96"/>
      <c r="T565" s="96"/>
      <c r="U565" s="96"/>
      <c r="V565" s="96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1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96"/>
      <c r="P566" s="96"/>
      <c r="Q566" s="96"/>
      <c r="R566" s="96"/>
      <c r="S566" s="96"/>
      <c r="T566" s="96"/>
      <c r="U566" s="96"/>
      <c r="V566" s="96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1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96"/>
      <c r="P567" s="96"/>
      <c r="Q567" s="96"/>
      <c r="R567" s="96"/>
      <c r="S567" s="96"/>
      <c r="T567" s="96"/>
      <c r="U567" s="96"/>
      <c r="V567" s="96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1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96"/>
      <c r="P568" s="96"/>
      <c r="Q568" s="96"/>
      <c r="R568" s="96"/>
      <c r="S568" s="96"/>
      <c r="T568" s="96"/>
      <c r="U568" s="96"/>
      <c r="V568" s="96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1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96"/>
      <c r="P569" s="96"/>
      <c r="Q569" s="96"/>
      <c r="R569" s="96"/>
      <c r="S569" s="96"/>
      <c r="T569" s="96"/>
      <c r="U569" s="96"/>
      <c r="V569" s="96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1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96"/>
      <c r="P570" s="96"/>
      <c r="Q570" s="96"/>
      <c r="R570" s="96"/>
      <c r="S570" s="96"/>
      <c r="T570" s="96"/>
      <c r="U570" s="96"/>
      <c r="V570" s="96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1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96"/>
      <c r="P571" s="96"/>
      <c r="Q571" s="96"/>
      <c r="R571" s="96"/>
      <c r="S571" s="96"/>
      <c r="T571" s="96"/>
      <c r="U571" s="96"/>
      <c r="V571" s="96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1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96"/>
      <c r="P572" s="96"/>
      <c r="Q572" s="96"/>
      <c r="R572" s="96"/>
      <c r="S572" s="96"/>
      <c r="T572" s="96"/>
      <c r="U572" s="96"/>
      <c r="V572" s="96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1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96"/>
      <c r="P573" s="96"/>
      <c r="Q573" s="96"/>
      <c r="R573" s="96"/>
      <c r="S573" s="96"/>
      <c r="T573" s="96"/>
      <c r="U573" s="96"/>
      <c r="V573" s="96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1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96"/>
      <c r="P574" s="96"/>
      <c r="Q574" s="96"/>
      <c r="R574" s="96"/>
      <c r="S574" s="96"/>
      <c r="T574" s="96"/>
      <c r="U574" s="96"/>
      <c r="V574" s="96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96"/>
      <c r="P575" s="96"/>
      <c r="Q575" s="96"/>
      <c r="R575" s="96"/>
      <c r="S575" s="96"/>
      <c r="T575" s="96"/>
      <c r="U575" s="96"/>
      <c r="V575" s="96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1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96"/>
      <c r="P576" s="96"/>
      <c r="Q576" s="96"/>
      <c r="R576" s="96"/>
      <c r="S576" s="96"/>
      <c r="T576" s="96"/>
      <c r="U576" s="96"/>
      <c r="V576" s="96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1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96"/>
      <c r="P577" s="96"/>
      <c r="Q577" s="96"/>
      <c r="R577" s="96"/>
      <c r="S577" s="96"/>
      <c r="T577" s="96"/>
      <c r="U577" s="96"/>
      <c r="V577" s="96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1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96"/>
      <c r="P578" s="96"/>
      <c r="Q578" s="96"/>
      <c r="R578" s="96"/>
      <c r="S578" s="96"/>
      <c r="T578" s="96"/>
      <c r="U578" s="96"/>
      <c r="V578" s="96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1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96"/>
      <c r="P579" s="96"/>
      <c r="Q579" s="96"/>
      <c r="R579" s="96"/>
      <c r="S579" s="96"/>
      <c r="T579" s="96"/>
      <c r="U579" s="96"/>
      <c r="V579" s="96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1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96"/>
      <c r="P580" s="96"/>
      <c r="Q580" s="96"/>
      <c r="R580" s="96"/>
      <c r="S580" s="96"/>
      <c r="T580" s="96"/>
      <c r="U580" s="96"/>
      <c r="V580" s="96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1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96"/>
      <c r="P581" s="96"/>
      <c r="Q581" s="96"/>
      <c r="R581" s="96"/>
      <c r="S581" s="96"/>
      <c r="T581" s="96"/>
      <c r="U581" s="96"/>
      <c r="V581" s="96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1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96"/>
      <c r="P582" s="96"/>
      <c r="Q582" s="96"/>
      <c r="R582" s="96"/>
      <c r="S582" s="96"/>
      <c r="T582" s="96"/>
      <c r="U582" s="96"/>
      <c r="V582" s="96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1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96"/>
      <c r="P583" s="96"/>
      <c r="Q583" s="96"/>
      <c r="R583" s="96"/>
      <c r="S583" s="96"/>
      <c r="T583" s="96"/>
      <c r="U583" s="96"/>
      <c r="V583" s="96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1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96"/>
      <c r="P584" s="96"/>
      <c r="Q584" s="96"/>
      <c r="R584" s="96"/>
      <c r="S584" s="96"/>
      <c r="T584" s="96"/>
      <c r="U584" s="96"/>
      <c r="V584" s="96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1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96"/>
      <c r="P585" s="96"/>
      <c r="Q585" s="96"/>
      <c r="R585" s="96"/>
      <c r="S585" s="96"/>
      <c r="T585" s="96"/>
      <c r="U585" s="96"/>
      <c r="V585" s="96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1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96"/>
      <c r="P586" s="96"/>
      <c r="Q586" s="96"/>
      <c r="R586" s="96"/>
      <c r="S586" s="96"/>
      <c r="T586" s="96"/>
      <c r="U586" s="96"/>
      <c r="V586" s="96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1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96"/>
      <c r="P587" s="96"/>
      <c r="Q587" s="96"/>
      <c r="R587" s="96"/>
      <c r="S587" s="96"/>
      <c r="T587" s="96"/>
      <c r="U587" s="96"/>
      <c r="V587" s="96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1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96"/>
      <c r="P588" s="96"/>
      <c r="Q588" s="96"/>
      <c r="R588" s="96"/>
      <c r="S588" s="96"/>
      <c r="T588" s="96"/>
      <c r="U588" s="96"/>
      <c r="V588" s="96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1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96"/>
      <c r="P589" s="96"/>
      <c r="Q589" s="96"/>
      <c r="R589" s="96"/>
      <c r="S589" s="96"/>
      <c r="T589" s="96"/>
      <c r="U589" s="96"/>
      <c r="V589" s="96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1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96"/>
      <c r="P590" s="96"/>
      <c r="Q590" s="96"/>
      <c r="R590" s="96"/>
      <c r="S590" s="96"/>
      <c r="T590" s="96"/>
      <c r="U590" s="96"/>
      <c r="V590" s="96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1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96"/>
      <c r="P591" s="96"/>
      <c r="Q591" s="96"/>
      <c r="R591" s="96"/>
      <c r="S591" s="96"/>
      <c r="T591" s="96"/>
      <c r="U591" s="96"/>
      <c r="V591" s="96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1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96"/>
      <c r="P592" s="96"/>
      <c r="Q592" s="96"/>
      <c r="R592" s="96"/>
      <c r="S592" s="96"/>
      <c r="T592" s="96"/>
      <c r="U592" s="96"/>
      <c r="V592" s="96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1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96"/>
      <c r="P593" s="96"/>
      <c r="Q593" s="96"/>
      <c r="R593" s="96"/>
      <c r="S593" s="96"/>
      <c r="T593" s="96"/>
      <c r="U593" s="96"/>
      <c r="V593" s="96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1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96"/>
      <c r="P594" s="96"/>
      <c r="Q594" s="96"/>
      <c r="R594" s="96"/>
      <c r="S594" s="96"/>
      <c r="T594" s="96"/>
      <c r="U594" s="96"/>
      <c r="V594" s="96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1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96"/>
      <c r="P595" s="96"/>
      <c r="Q595" s="96"/>
      <c r="R595" s="96"/>
      <c r="S595" s="96"/>
      <c r="T595" s="96"/>
      <c r="U595" s="96"/>
      <c r="V595" s="96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1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96"/>
      <c r="P596" s="96"/>
      <c r="Q596" s="96"/>
      <c r="R596" s="96"/>
      <c r="S596" s="96"/>
      <c r="T596" s="96"/>
      <c r="U596" s="96"/>
      <c r="V596" s="96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1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96"/>
      <c r="P597" s="96"/>
      <c r="Q597" s="96"/>
      <c r="R597" s="96"/>
      <c r="S597" s="96"/>
      <c r="T597" s="96"/>
      <c r="U597" s="96"/>
      <c r="V597" s="96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1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96"/>
      <c r="P598" s="96"/>
      <c r="Q598" s="96"/>
      <c r="R598" s="96"/>
      <c r="S598" s="96"/>
      <c r="T598" s="96"/>
      <c r="U598" s="96"/>
      <c r="V598" s="96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1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96"/>
      <c r="P599" s="96"/>
      <c r="Q599" s="96"/>
      <c r="R599" s="96"/>
      <c r="S599" s="96"/>
      <c r="T599" s="96"/>
      <c r="U599" s="96"/>
      <c r="V599" s="96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1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96"/>
      <c r="P600" s="96"/>
      <c r="Q600" s="96"/>
      <c r="R600" s="96"/>
      <c r="S600" s="96"/>
      <c r="T600" s="96"/>
      <c r="U600" s="96"/>
      <c r="V600" s="96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1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96"/>
      <c r="P601" s="96"/>
      <c r="Q601" s="96"/>
      <c r="R601" s="96"/>
      <c r="S601" s="96"/>
      <c r="T601" s="96"/>
      <c r="U601" s="96"/>
      <c r="V601" s="96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1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96"/>
      <c r="P602" s="96"/>
      <c r="Q602" s="96"/>
      <c r="R602" s="96"/>
      <c r="S602" s="96"/>
      <c r="T602" s="96"/>
      <c r="U602" s="96"/>
      <c r="V602" s="96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1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96"/>
      <c r="P603" s="96"/>
      <c r="Q603" s="96"/>
      <c r="R603" s="96"/>
      <c r="S603" s="96"/>
      <c r="T603" s="96"/>
      <c r="U603" s="96"/>
      <c r="V603" s="96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96"/>
      <c r="P604" s="96"/>
      <c r="Q604" s="96"/>
      <c r="R604" s="96"/>
      <c r="S604" s="96"/>
      <c r="T604" s="96"/>
      <c r="U604" s="96"/>
      <c r="V604" s="96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1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96"/>
      <c r="P605" s="96"/>
      <c r="Q605" s="96"/>
      <c r="R605" s="96"/>
      <c r="S605" s="96"/>
      <c r="T605" s="96"/>
      <c r="U605" s="96"/>
      <c r="V605" s="96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1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96"/>
      <c r="P606" s="96"/>
      <c r="Q606" s="96"/>
      <c r="R606" s="96"/>
      <c r="S606" s="96"/>
      <c r="T606" s="96"/>
      <c r="U606" s="96"/>
      <c r="V606" s="96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1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96"/>
      <c r="P607" s="96"/>
      <c r="Q607" s="96"/>
      <c r="R607" s="96"/>
      <c r="S607" s="96"/>
      <c r="T607" s="96"/>
      <c r="U607" s="96"/>
      <c r="V607" s="96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1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96"/>
      <c r="P608" s="96"/>
      <c r="Q608" s="96"/>
      <c r="R608" s="96"/>
      <c r="S608" s="96"/>
      <c r="T608" s="96"/>
      <c r="U608" s="96"/>
      <c r="V608" s="96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1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96"/>
      <c r="P609" s="96"/>
      <c r="Q609" s="96"/>
      <c r="R609" s="96"/>
      <c r="S609" s="96"/>
      <c r="T609" s="96"/>
      <c r="U609" s="96"/>
      <c r="V609" s="96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1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96"/>
      <c r="P610" s="96"/>
      <c r="Q610" s="96"/>
      <c r="R610" s="96"/>
      <c r="S610" s="96"/>
      <c r="T610" s="96"/>
      <c r="U610" s="96"/>
      <c r="V610" s="96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1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96"/>
      <c r="P611" s="96"/>
      <c r="Q611" s="96"/>
      <c r="R611" s="96"/>
      <c r="S611" s="96"/>
      <c r="T611" s="96"/>
      <c r="U611" s="96"/>
      <c r="V611" s="96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1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96"/>
      <c r="P612" s="96"/>
      <c r="Q612" s="96"/>
      <c r="R612" s="96"/>
      <c r="S612" s="96"/>
      <c r="T612" s="96"/>
      <c r="U612" s="96"/>
      <c r="V612" s="96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1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96"/>
      <c r="P613" s="96"/>
      <c r="Q613" s="96"/>
      <c r="R613" s="96"/>
      <c r="S613" s="96"/>
      <c r="T613" s="96"/>
      <c r="U613" s="96"/>
      <c r="V613" s="96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1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96"/>
      <c r="P614" s="96"/>
      <c r="Q614" s="96"/>
      <c r="R614" s="96"/>
      <c r="S614" s="96"/>
      <c r="T614" s="96"/>
      <c r="U614" s="96"/>
      <c r="V614" s="96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1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96"/>
      <c r="P615" s="96"/>
      <c r="Q615" s="96"/>
      <c r="R615" s="96"/>
      <c r="S615" s="96"/>
      <c r="T615" s="96"/>
      <c r="U615" s="96"/>
      <c r="V615" s="96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1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96"/>
      <c r="P616" s="96"/>
      <c r="Q616" s="96"/>
      <c r="R616" s="96"/>
      <c r="S616" s="96"/>
      <c r="T616" s="96"/>
      <c r="U616" s="96"/>
      <c r="V616" s="96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1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96"/>
      <c r="P617" s="96"/>
      <c r="Q617" s="96"/>
      <c r="R617" s="96"/>
      <c r="S617" s="96"/>
      <c r="T617" s="96"/>
      <c r="U617" s="96"/>
      <c r="V617" s="96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1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96"/>
      <c r="P618" s="96"/>
      <c r="Q618" s="96"/>
      <c r="R618" s="96"/>
      <c r="S618" s="96"/>
      <c r="T618" s="96"/>
      <c r="U618" s="96"/>
      <c r="V618" s="96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1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96"/>
      <c r="P619" s="96"/>
      <c r="Q619" s="96"/>
      <c r="R619" s="96"/>
      <c r="S619" s="96"/>
      <c r="T619" s="96"/>
      <c r="U619" s="96"/>
      <c r="V619" s="96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1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96"/>
      <c r="P620" s="96"/>
      <c r="Q620" s="96"/>
      <c r="R620" s="96"/>
      <c r="S620" s="96"/>
      <c r="T620" s="96"/>
      <c r="U620" s="96"/>
      <c r="V620" s="96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1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96"/>
      <c r="P621" s="96"/>
      <c r="Q621" s="96"/>
      <c r="R621" s="96"/>
      <c r="S621" s="96"/>
      <c r="T621" s="96"/>
      <c r="U621" s="96"/>
      <c r="V621" s="96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1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96"/>
      <c r="P622" s="96"/>
      <c r="Q622" s="96"/>
      <c r="R622" s="96"/>
      <c r="S622" s="96"/>
      <c r="T622" s="96"/>
      <c r="U622" s="96"/>
      <c r="V622" s="96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1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96"/>
      <c r="P623" s="96"/>
      <c r="Q623" s="96"/>
      <c r="R623" s="96"/>
      <c r="S623" s="96"/>
      <c r="T623" s="96"/>
      <c r="U623" s="96"/>
      <c r="V623" s="96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1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96"/>
      <c r="P624" s="96"/>
      <c r="Q624" s="96"/>
      <c r="R624" s="96"/>
      <c r="S624" s="96"/>
      <c r="T624" s="96"/>
      <c r="U624" s="96"/>
      <c r="V624" s="96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1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96"/>
      <c r="P625" s="96"/>
      <c r="Q625" s="96"/>
      <c r="R625" s="96"/>
      <c r="S625" s="96"/>
      <c r="T625" s="96"/>
      <c r="U625" s="96"/>
      <c r="V625" s="96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1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96"/>
      <c r="P626" s="96"/>
      <c r="Q626" s="96"/>
      <c r="R626" s="96"/>
      <c r="S626" s="96"/>
      <c r="T626" s="96"/>
      <c r="U626" s="96"/>
      <c r="V626" s="96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1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96"/>
      <c r="P627" s="96"/>
      <c r="Q627" s="96"/>
      <c r="R627" s="96"/>
      <c r="S627" s="96"/>
      <c r="T627" s="96"/>
      <c r="U627" s="96"/>
      <c r="V627" s="96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1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96"/>
      <c r="P628" s="96"/>
      <c r="Q628" s="96"/>
      <c r="R628" s="96"/>
      <c r="S628" s="96"/>
      <c r="T628" s="96"/>
      <c r="U628" s="96"/>
      <c r="V628" s="96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1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96"/>
      <c r="P629" s="96"/>
      <c r="Q629" s="96"/>
      <c r="R629" s="96"/>
      <c r="S629" s="96"/>
      <c r="T629" s="96"/>
      <c r="U629" s="96"/>
      <c r="V629" s="96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1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96"/>
      <c r="P630" s="96"/>
      <c r="Q630" s="96"/>
      <c r="R630" s="96"/>
      <c r="S630" s="96"/>
      <c r="T630" s="96"/>
      <c r="U630" s="96"/>
      <c r="V630" s="96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1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96"/>
      <c r="P631" s="96"/>
      <c r="Q631" s="96"/>
      <c r="R631" s="96"/>
      <c r="S631" s="96"/>
      <c r="T631" s="96"/>
      <c r="U631" s="96"/>
      <c r="V631" s="96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1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96"/>
      <c r="P632" s="96"/>
      <c r="Q632" s="96"/>
      <c r="R632" s="96"/>
      <c r="S632" s="96"/>
      <c r="T632" s="96"/>
      <c r="U632" s="96"/>
      <c r="V632" s="96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1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96"/>
      <c r="P633" s="96"/>
      <c r="Q633" s="96"/>
      <c r="R633" s="96"/>
      <c r="S633" s="96"/>
      <c r="T633" s="96"/>
      <c r="U633" s="96"/>
      <c r="V633" s="96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1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96"/>
      <c r="P634" s="96"/>
      <c r="Q634" s="96"/>
      <c r="R634" s="96"/>
      <c r="S634" s="96"/>
      <c r="T634" s="96"/>
      <c r="U634" s="96"/>
      <c r="V634" s="96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96"/>
      <c r="P635" s="96"/>
      <c r="Q635" s="96"/>
      <c r="R635" s="96"/>
      <c r="S635" s="96"/>
      <c r="T635" s="96"/>
      <c r="U635" s="96"/>
      <c r="V635" s="96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1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96"/>
      <c r="P636" s="96"/>
      <c r="Q636" s="96"/>
      <c r="R636" s="96"/>
      <c r="S636" s="96"/>
      <c r="T636" s="96"/>
      <c r="U636" s="96"/>
      <c r="V636" s="96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1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96"/>
      <c r="P637" s="96"/>
      <c r="Q637" s="96"/>
      <c r="R637" s="96"/>
      <c r="S637" s="96"/>
      <c r="T637" s="96"/>
      <c r="U637" s="96"/>
      <c r="V637" s="96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1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96"/>
      <c r="P638" s="96"/>
      <c r="Q638" s="96"/>
      <c r="R638" s="96"/>
      <c r="S638" s="96"/>
      <c r="T638" s="96"/>
      <c r="U638" s="96"/>
      <c r="V638" s="96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1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96"/>
      <c r="P639" s="96"/>
      <c r="Q639" s="96"/>
      <c r="R639" s="96"/>
      <c r="S639" s="96"/>
      <c r="T639" s="96"/>
      <c r="U639" s="96"/>
      <c r="V639" s="96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1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96"/>
      <c r="P640" s="96"/>
      <c r="Q640" s="96"/>
      <c r="R640" s="96"/>
      <c r="S640" s="96"/>
      <c r="T640" s="96"/>
      <c r="U640" s="96"/>
      <c r="V640" s="96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1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96"/>
      <c r="P641" s="96"/>
      <c r="Q641" s="96"/>
      <c r="R641" s="96"/>
      <c r="S641" s="96"/>
      <c r="T641" s="96"/>
      <c r="U641" s="96"/>
      <c r="V641" s="96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1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96"/>
      <c r="P642" s="96"/>
      <c r="Q642" s="96"/>
      <c r="R642" s="96"/>
      <c r="S642" s="96"/>
      <c r="T642" s="96"/>
      <c r="U642" s="96"/>
      <c r="V642" s="96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1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96"/>
      <c r="P643" s="96"/>
      <c r="Q643" s="96"/>
      <c r="R643" s="96"/>
      <c r="S643" s="96"/>
      <c r="T643" s="96"/>
      <c r="U643" s="96"/>
      <c r="V643" s="96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1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96"/>
      <c r="P644" s="96"/>
      <c r="Q644" s="96"/>
      <c r="R644" s="96"/>
      <c r="S644" s="96"/>
      <c r="T644" s="96"/>
      <c r="U644" s="96"/>
      <c r="V644" s="96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1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96"/>
      <c r="P645" s="96"/>
      <c r="Q645" s="96"/>
      <c r="R645" s="96"/>
      <c r="S645" s="96"/>
      <c r="T645" s="96"/>
      <c r="U645" s="96"/>
      <c r="V645" s="96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1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96"/>
      <c r="P646" s="96"/>
      <c r="Q646" s="96"/>
      <c r="R646" s="96"/>
      <c r="S646" s="96"/>
      <c r="T646" s="96"/>
      <c r="U646" s="96"/>
      <c r="V646" s="96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1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96"/>
      <c r="P647" s="96"/>
      <c r="Q647" s="96"/>
      <c r="R647" s="96"/>
      <c r="S647" s="96"/>
      <c r="T647" s="96"/>
      <c r="U647" s="96"/>
      <c r="V647" s="96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1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96"/>
      <c r="P648" s="96"/>
      <c r="Q648" s="96"/>
      <c r="R648" s="96"/>
      <c r="S648" s="96"/>
      <c r="T648" s="96"/>
      <c r="U648" s="96"/>
      <c r="V648" s="96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1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96"/>
      <c r="P649" s="96"/>
      <c r="Q649" s="96"/>
      <c r="R649" s="96"/>
      <c r="S649" s="96"/>
      <c r="T649" s="96"/>
      <c r="U649" s="96"/>
      <c r="V649" s="96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1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96"/>
      <c r="P650" s="96"/>
      <c r="Q650" s="96"/>
      <c r="R650" s="96"/>
      <c r="S650" s="96"/>
      <c r="T650" s="96"/>
      <c r="U650" s="96"/>
      <c r="V650" s="96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1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96"/>
      <c r="P651" s="96"/>
      <c r="Q651" s="96"/>
      <c r="R651" s="96"/>
      <c r="S651" s="96"/>
      <c r="T651" s="96"/>
      <c r="U651" s="96"/>
      <c r="V651" s="96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1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96"/>
      <c r="P652" s="96"/>
      <c r="Q652" s="96"/>
      <c r="R652" s="96"/>
      <c r="S652" s="96"/>
      <c r="T652" s="96"/>
      <c r="U652" s="96"/>
      <c r="V652" s="96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1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96"/>
      <c r="P653" s="96"/>
      <c r="Q653" s="96"/>
      <c r="R653" s="96"/>
      <c r="S653" s="96"/>
      <c r="T653" s="96"/>
      <c r="U653" s="96"/>
      <c r="V653" s="96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1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96"/>
      <c r="P654" s="96"/>
      <c r="Q654" s="96"/>
      <c r="R654" s="96"/>
      <c r="S654" s="96"/>
      <c r="T654" s="96"/>
      <c r="U654" s="96"/>
      <c r="V654" s="96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1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96"/>
      <c r="P655" s="96"/>
      <c r="Q655" s="96"/>
      <c r="R655" s="96"/>
      <c r="S655" s="96"/>
      <c r="T655" s="96"/>
      <c r="U655" s="96"/>
      <c r="V655" s="96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1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96"/>
      <c r="P656" s="96"/>
      <c r="Q656" s="96"/>
      <c r="R656" s="96"/>
      <c r="S656" s="96"/>
      <c r="T656" s="96"/>
      <c r="U656" s="96"/>
      <c r="V656" s="96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1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96"/>
      <c r="P657" s="96"/>
      <c r="Q657" s="96"/>
      <c r="R657" s="96"/>
      <c r="S657" s="96"/>
      <c r="T657" s="96"/>
      <c r="U657" s="96"/>
      <c r="V657" s="96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1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96"/>
      <c r="P658" s="96"/>
      <c r="Q658" s="96"/>
      <c r="R658" s="96"/>
      <c r="S658" s="96"/>
      <c r="T658" s="96"/>
      <c r="U658" s="96"/>
      <c r="V658" s="96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1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96"/>
      <c r="P659" s="96"/>
      <c r="Q659" s="96"/>
      <c r="R659" s="96"/>
      <c r="S659" s="96"/>
      <c r="T659" s="96"/>
      <c r="U659" s="96"/>
      <c r="V659" s="96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1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96"/>
      <c r="P660" s="96"/>
      <c r="Q660" s="96"/>
      <c r="R660" s="96"/>
      <c r="S660" s="96"/>
      <c r="T660" s="96"/>
      <c r="U660" s="96"/>
      <c r="V660" s="96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1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96"/>
      <c r="P661" s="96"/>
      <c r="Q661" s="96"/>
      <c r="R661" s="96"/>
      <c r="S661" s="96"/>
      <c r="T661" s="96"/>
      <c r="U661" s="96"/>
      <c r="V661" s="96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1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96"/>
      <c r="P662" s="96"/>
      <c r="Q662" s="96"/>
      <c r="R662" s="96"/>
      <c r="S662" s="96"/>
      <c r="T662" s="96"/>
      <c r="U662" s="96"/>
      <c r="V662" s="96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1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96"/>
      <c r="P663" s="96"/>
      <c r="Q663" s="96"/>
      <c r="R663" s="96"/>
      <c r="S663" s="96"/>
      <c r="T663" s="96"/>
      <c r="U663" s="96"/>
      <c r="V663" s="96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96"/>
      <c r="P664" s="96"/>
      <c r="Q664" s="96"/>
      <c r="R664" s="96"/>
      <c r="S664" s="96"/>
      <c r="T664" s="96"/>
      <c r="U664" s="96"/>
      <c r="V664" s="96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1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96"/>
      <c r="P665" s="96"/>
      <c r="Q665" s="96"/>
      <c r="R665" s="96"/>
      <c r="S665" s="96"/>
      <c r="T665" s="96"/>
      <c r="U665" s="96"/>
      <c r="V665" s="96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1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96"/>
      <c r="P666" s="96"/>
      <c r="Q666" s="96"/>
      <c r="R666" s="96"/>
      <c r="S666" s="96"/>
      <c r="T666" s="96"/>
      <c r="U666" s="96"/>
      <c r="V666" s="96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1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96"/>
      <c r="P667" s="96"/>
      <c r="Q667" s="96"/>
      <c r="R667" s="96"/>
      <c r="S667" s="96"/>
      <c r="T667" s="96"/>
      <c r="U667" s="96"/>
      <c r="V667" s="96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1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96"/>
      <c r="P668" s="96"/>
      <c r="Q668" s="96"/>
      <c r="R668" s="96"/>
      <c r="S668" s="96"/>
      <c r="T668" s="96"/>
      <c r="U668" s="96"/>
      <c r="V668" s="96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1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96"/>
      <c r="P669" s="96"/>
      <c r="Q669" s="96"/>
      <c r="R669" s="96"/>
      <c r="S669" s="96"/>
      <c r="T669" s="96"/>
      <c r="U669" s="96"/>
      <c r="V669" s="96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1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96"/>
      <c r="P670" s="96"/>
      <c r="Q670" s="96"/>
      <c r="R670" s="96"/>
      <c r="S670" s="96"/>
      <c r="T670" s="96"/>
      <c r="U670" s="96"/>
      <c r="V670" s="96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1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96"/>
      <c r="P671" s="96"/>
      <c r="Q671" s="96"/>
      <c r="R671" s="96"/>
      <c r="S671" s="96"/>
      <c r="T671" s="96"/>
      <c r="U671" s="96"/>
      <c r="V671" s="96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1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96"/>
      <c r="P672" s="96"/>
      <c r="Q672" s="96"/>
      <c r="R672" s="96"/>
      <c r="S672" s="96"/>
      <c r="T672" s="96"/>
      <c r="U672" s="96"/>
      <c r="V672" s="96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1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96"/>
      <c r="P673" s="96"/>
      <c r="Q673" s="96"/>
      <c r="R673" s="96"/>
      <c r="S673" s="96"/>
      <c r="T673" s="96"/>
      <c r="U673" s="96"/>
      <c r="V673" s="96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1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96"/>
      <c r="P674" s="96"/>
      <c r="Q674" s="96"/>
      <c r="R674" s="96"/>
      <c r="S674" s="96"/>
      <c r="T674" s="96"/>
      <c r="U674" s="96"/>
      <c r="V674" s="96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1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96"/>
      <c r="P675" s="96"/>
      <c r="Q675" s="96"/>
      <c r="R675" s="96"/>
      <c r="S675" s="96"/>
      <c r="T675" s="96"/>
      <c r="U675" s="96"/>
      <c r="V675" s="96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1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96"/>
      <c r="P676" s="96"/>
      <c r="Q676" s="96"/>
      <c r="R676" s="96"/>
      <c r="S676" s="96"/>
      <c r="T676" s="96"/>
      <c r="U676" s="96"/>
      <c r="V676" s="96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1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96"/>
      <c r="P677" s="96"/>
      <c r="Q677" s="96"/>
      <c r="R677" s="96"/>
      <c r="S677" s="96"/>
      <c r="T677" s="96"/>
      <c r="U677" s="96"/>
      <c r="V677" s="96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1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96"/>
      <c r="P678" s="96"/>
      <c r="Q678" s="96"/>
      <c r="R678" s="96"/>
      <c r="S678" s="96"/>
      <c r="T678" s="96"/>
      <c r="U678" s="96"/>
      <c r="V678" s="96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1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96"/>
      <c r="P679" s="96"/>
      <c r="Q679" s="96"/>
      <c r="R679" s="96"/>
      <c r="S679" s="96"/>
      <c r="T679" s="96"/>
      <c r="U679" s="96"/>
      <c r="V679" s="96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1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96"/>
      <c r="P680" s="96"/>
      <c r="Q680" s="96"/>
      <c r="R680" s="96"/>
      <c r="S680" s="96"/>
      <c r="T680" s="96"/>
      <c r="U680" s="96"/>
      <c r="V680" s="96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1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96"/>
      <c r="P681" s="96"/>
      <c r="Q681" s="96"/>
      <c r="R681" s="96"/>
      <c r="S681" s="96"/>
      <c r="T681" s="96"/>
      <c r="U681" s="96"/>
      <c r="V681" s="96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1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96"/>
      <c r="P682" s="96"/>
      <c r="Q682" s="96"/>
      <c r="R682" s="96"/>
      <c r="S682" s="96"/>
      <c r="T682" s="96"/>
      <c r="U682" s="96"/>
      <c r="V682" s="96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1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96"/>
      <c r="P683" s="96"/>
      <c r="Q683" s="96"/>
      <c r="R683" s="96"/>
      <c r="S683" s="96"/>
      <c r="T683" s="96"/>
      <c r="U683" s="96"/>
      <c r="V683" s="96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1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96"/>
      <c r="P684" s="96"/>
      <c r="Q684" s="96"/>
      <c r="R684" s="96"/>
      <c r="S684" s="96"/>
      <c r="T684" s="96"/>
      <c r="U684" s="96"/>
      <c r="V684" s="96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1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96"/>
      <c r="P685" s="96"/>
      <c r="Q685" s="96"/>
      <c r="R685" s="96"/>
      <c r="S685" s="96"/>
      <c r="T685" s="96"/>
      <c r="U685" s="96"/>
      <c r="V685" s="96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1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96"/>
      <c r="P686" s="96"/>
      <c r="Q686" s="96"/>
      <c r="R686" s="96"/>
      <c r="S686" s="96"/>
      <c r="T686" s="96"/>
      <c r="U686" s="96"/>
      <c r="V686" s="96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1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96"/>
      <c r="P687" s="96"/>
      <c r="Q687" s="96"/>
      <c r="R687" s="96"/>
      <c r="S687" s="96"/>
      <c r="T687" s="96"/>
      <c r="U687" s="96"/>
      <c r="V687" s="96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1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96"/>
      <c r="P688" s="96"/>
      <c r="Q688" s="96"/>
      <c r="R688" s="96"/>
      <c r="S688" s="96"/>
      <c r="T688" s="96"/>
      <c r="U688" s="96"/>
      <c r="V688" s="96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1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96"/>
      <c r="P689" s="96"/>
      <c r="Q689" s="96"/>
      <c r="R689" s="96"/>
      <c r="S689" s="96"/>
      <c r="T689" s="96"/>
      <c r="U689" s="96"/>
      <c r="V689" s="96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1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96"/>
      <c r="P690" s="96"/>
      <c r="Q690" s="96"/>
      <c r="R690" s="96"/>
      <c r="S690" s="96"/>
      <c r="T690" s="96"/>
      <c r="U690" s="96"/>
      <c r="V690" s="96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1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96"/>
      <c r="P691" s="96"/>
      <c r="Q691" s="96"/>
      <c r="R691" s="96"/>
      <c r="S691" s="96"/>
      <c r="T691" s="96"/>
      <c r="U691" s="96"/>
      <c r="V691" s="96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1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96"/>
      <c r="P692" s="96"/>
      <c r="Q692" s="96"/>
      <c r="R692" s="96"/>
      <c r="S692" s="96"/>
      <c r="T692" s="96"/>
      <c r="U692" s="96"/>
      <c r="V692" s="96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1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96"/>
      <c r="P693" s="96"/>
      <c r="Q693" s="96"/>
      <c r="R693" s="96"/>
      <c r="S693" s="96"/>
      <c r="T693" s="96"/>
      <c r="U693" s="96"/>
      <c r="V693" s="96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1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96"/>
      <c r="P694" s="96"/>
      <c r="Q694" s="96"/>
      <c r="R694" s="96"/>
      <c r="S694" s="96"/>
      <c r="T694" s="96"/>
      <c r="U694" s="96"/>
      <c r="V694" s="96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96"/>
      <c r="P695" s="96"/>
      <c r="Q695" s="96"/>
      <c r="R695" s="96"/>
      <c r="S695" s="96"/>
      <c r="T695" s="96"/>
      <c r="U695" s="96"/>
      <c r="V695" s="96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1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96"/>
      <c r="P696" s="96"/>
      <c r="Q696" s="96"/>
      <c r="R696" s="96"/>
      <c r="S696" s="96"/>
      <c r="T696" s="96"/>
      <c r="U696" s="96"/>
      <c r="V696" s="96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1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96"/>
      <c r="P697" s="96"/>
      <c r="Q697" s="96"/>
      <c r="R697" s="96"/>
      <c r="S697" s="96"/>
      <c r="T697" s="96"/>
      <c r="U697" s="96"/>
      <c r="V697" s="96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1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96"/>
      <c r="P698" s="96"/>
      <c r="Q698" s="96"/>
      <c r="R698" s="96"/>
      <c r="S698" s="96"/>
      <c r="T698" s="96"/>
      <c r="U698" s="96"/>
      <c r="V698" s="96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1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96"/>
      <c r="P699" s="96"/>
      <c r="Q699" s="96"/>
      <c r="R699" s="96"/>
      <c r="S699" s="96"/>
      <c r="T699" s="96"/>
      <c r="U699" s="96"/>
      <c r="V699" s="96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1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96"/>
      <c r="P700" s="96"/>
      <c r="Q700" s="96"/>
      <c r="R700" s="96"/>
      <c r="S700" s="96"/>
      <c r="T700" s="96"/>
      <c r="U700" s="96"/>
      <c r="V700" s="96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1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96"/>
      <c r="P701" s="96"/>
      <c r="Q701" s="96"/>
      <c r="R701" s="96"/>
      <c r="S701" s="96"/>
      <c r="T701" s="96"/>
      <c r="U701" s="96"/>
      <c r="V701" s="96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1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96"/>
      <c r="P702" s="96"/>
      <c r="Q702" s="96"/>
      <c r="R702" s="96"/>
      <c r="S702" s="96"/>
      <c r="T702" s="96"/>
      <c r="U702" s="96"/>
      <c r="V702" s="96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1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96"/>
      <c r="P703" s="96"/>
      <c r="Q703" s="96"/>
      <c r="R703" s="96"/>
      <c r="S703" s="96"/>
      <c r="T703" s="96"/>
      <c r="U703" s="96"/>
      <c r="V703" s="96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1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96"/>
      <c r="P704" s="96"/>
      <c r="Q704" s="96"/>
      <c r="R704" s="96"/>
      <c r="S704" s="96"/>
      <c r="T704" s="96"/>
      <c r="U704" s="96"/>
      <c r="V704" s="96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1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96"/>
      <c r="P705" s="96"/>
      <c r="Q705" s="96"/>
      <c r="R705" s="96"/>
      <c r="S705" s="96"/>
      <c r="T705" s="96"/>
      <c r="U705" s="96"/>
      <c r="V705" s="96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1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96"/>
      <c r="P706" s="96"/>
      <c r="Q706" s="96"/>
      <c r="R706" s="96"/>
      <c r="S706" s="96"/>
      <c r="T706" s="96"/>
      <c r="U706" s="96"/>
      <c r="V706" s="96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1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96"/>
      <c r="P707" s="96"/>
      <c r="Q707" s="96"/>
      <c r="R707" s="96"/>
      <c r="S707" s="96"/>
      <c r="T707" s="96"/>
      <c r="U707" s="96"/>
      <c r="V707" s="96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1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96"/>
      <c r="P708" s="96"/>
      <c r="Q708" s="96"/>
      <c r="R708" s="96"/>
      <c r="S708" s="96"/>
      <c r="T708" s="96"/>
      <c r="U708" s="96"/>
      <c r="V708" s="96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1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96"/>
      <c r="P709" s="96"/>
      <c r="Q709" s="96"/>
      <c r="R709" s="96"/>
      <c r="S709" s="96"/>
      <c r="T709" s="96"/>
      <c r="U709" s="96"/>
      <c r="V709" s="96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1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96"/>
      <c r="P710" s="96"/>
      <c r="Q710" s="96"/>
      <c r="R710" s="96"/>
      <c r="S710" s="96"/>
      <c r="T710" s="96"/>
      <c r="U710" s="96"/>
      <c r="V710" s="96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1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96"/>
      <c r="P711" s="96"/>
      <c r="Q711" s="96"/>
      <c r="R711" s="96"/>
      <c r="S711" s="96"/>
      <c r="T711" s="96"/>
      <c r="U711" s="96"/>
      <c r="V711" s="96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1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96"/>
      <c r="P712" s="96"/>
      <c r="Q712" s="96"/>
      <c r="R712" s="96"/>
      <c r="S712" s="96"/>
      <c r="T712" s="96"/>
      <c r="U712" s="96"/>
      <c r="V712" s="96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1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96"/>
      <c r="P713" s="96"/>
      <c r="Q713" s="96"/>
      <c r="R713" s="96"/>
      <c r="S713" s="96"/>
      <c r="T713" s="96"/>
      <c r="U713" s="96"/>
      <c r="V713" s="96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1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96"/>
      <c r="P714" s="96"/>
      <c r="Q714" s="96"/>
      <c r="R714" s="96"/>
      <c r="S714" s="96"/>
      <c r="T714" s="96"/>
      <c r="U714" s="96"/>
      <c r="V714" s="96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1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96"/>
      <c r="P715" s="96"/>
      <c r="Q715" s="96"/>
      <c r="R715" s="96"/>
      <c r="S715" s="96"/>
      <c r="T715" s="96"/>
      <c r="U715" s="96"/>
      <c r="V715" s="96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1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96"/>
      <c r="P716" s="96"/>
      <c r="Q716" s="96"/>
      <c r="R716" s="96"/>
      <c r="S716" s="96"/>
      <c r="T716" s="96"/>
      <c r="U716" s="96"/>
      <c r="V716" s="96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1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96"/>
      <c r="P717" s="96"/>
      <c r="Q717" s="96"/>
      <c r="R717" s="96"/>
      <c r="S717" s="96"/>
      <c r="T717" s="96"/>
      <c r="U717" s="96"/>
      <c r="V717" s="96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1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96"/>
      <c r="P718" s="96"/>
      <c r="Q718" s="96"/>
      <c r="R718" s="96"/>
      <c r="S718" s="96"/>
      <c r="T718" s="96"/>
      <c r="U718" s="96"/>
      <c r="V718" s="96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1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96"/>
      <c r="P719" s="96"/>
      <c r="Q719" s="96"/>
      <c r="R719" s="96"/>
      <c r="S719" s="96"/>
      <c r="T719" s="96"/>
      <c r="U719" s="96"/>
      <c r="V719" s="96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1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96"/>
      <c r="P720" s="96"/>
      <c r="Q720" s="96"/>
      <c r="R720" s="96"/>
      <c r="S720" s="96"/>
      <c r="T720" s="96"/>
      <c r="U720" s="96"/>
      <c r="V720" s="96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1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96"/>
      <c r="P721" s="96"/>
      <c r="Q721" s="96"/>
      <c r="R721" s="96"/>
      <c r="S721" s="96"/>
      <c r="T721" s="96"/>
      <c r="U721" s="96"/>
      <c r="V721" s="96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1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96"/>
      <c r="P722" s="96"/>
      <c r="Q722" s="96"/>
      <c r="R722" s="96"/>
      <c r="S722" s="96"/>
      <c r="T722" s="96"/>
      <c r="U722" s="96"/>
      <c r="V722" s="96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1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96"/>
      <c r="P723" s="96"/>
      <c r="Q723" s="96"/>
      <c r="R723" s="96"/>
      <c r="S723" s="96"/>
      <c r="T723" s="96"/>
      <c r="U723" s="96"/>
      <c r="V723" s="96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96"/>
      <c r="P724" s="96"/>
      <c r="Q724" s="96"/>
      <c r="R724" s="96"/>
      <c r="S724" s="96"/>
      <c r="T724" s="96"/>
      <c r="U724" s="96"/>
      <c r="V724" s="96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1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96"/>
      <c r="P725" s="96"/>
      <c r="Q725" s="96"/>
      <c r="R725" s="96"/>
      <c r="S725" s="96"/>
      <c r="T725" s="96"/>
      <c r="U725" s="96"/>
      <c r="V725" s="96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1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96"/>
      <c r="P726" s="96"/>
      <c r="Q726" s="96"/>
      <c r="R726" s="96"/>
      <c r="S726" s="96"/>
      <c r="T726" s="96"/>
      <c r="U726" s="96"/>
      <c r="V726" s="96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1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96"/>
      <c r="P727" s="96"/>
      <c r="Q727" s="96"/>
      <c r="R727" s="96"/>
      <c r="S727" s="96"/>
      <c r="T727" s="96"/>
      <c r="U727" s="96"/>
      <c r="V727" s="96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1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96"/>
      <c r="P728" s="96"/>
      <c r="Q728" s="96"/>
      <c r="R728" s="96"/>
      <c r="S728" s="96"/>
      <c r="T728" s="96"/>
      <c r="U728" s="96"/>
      <c r="V728" s="96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1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96"/>
      <c r="P729" s="96"/>
      <c r="Q729" s="96"/>
      <c r="R729" s="96"/>
      <c r="S729" s="96"/>
      <c r="T729" s="96"/>
      <c r="U729" s="96"/>
      <c r="V729" s="96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1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96"/>
      <c r="P730" s="96"/>
      <c r="Q730" s="96"/>
      <c r="R730" s="96"/>
      <c r="S730" s="96"/>
      <c r="T730" s="96"/>
      <c r="U730" s="96"/>
      <c r="V730" s="96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1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96"/>
      <c r="P731" s="96"/>
      <c r="Q731" s="96"/>
      <c r="R731" s="96"/>
      <c r="S731" s="96"/>
      <c r="T731" s="96"/>
      <c r="U731" s="96"/>
      <c r="V731" s="96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1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96"/>
      <c r="P732" s="96"/>
      <c r="Q732" s="96"/>
      <c r="R732" s="96"/>
      <c r="S732" s="96"/>
      <c r="T732" s="96"/>
      <c r="U732" s="96"/>
      <c r="V732" s="96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1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96"/>
      <c r="P733" s="96"/>
      <c r="Q733" s="96"/>
      <c r="R733" s="96"/>
      <c r="S733" s="96"/>
      <c r="T733" s="96"/>
      <c r="U733" s="96"/>
      <c r="V733" s="96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1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96"/>
      <c r="P734" s="96"/>
      <c r="Q734" s="96"/>
      <c r="R734" s="96"/>
      <c r="S734" s="96"/>
      <c r="T734" s="96"/>
      <c r="U734" s="96"/>
      <c r="V734" s="96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1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96"/>
      <c r="P735" s="96"/>
      <c r="Q735" s="96"/>
      <c r="R735" s="96"/>
      <c r="S735" s="96"/>
      <c r="T735" s="96"/>
      <c r="U735" s="96"/>
      <c r="V735" s="96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1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96"/>
      <c r="P736" s="96"/>
      <c r="Q736" s="96"/>
      <c r="R736" s="96"/>
      <c r="S736" s="96"/>
      <c r="T736" s="96"/>
      <c r="U736" s="96"/>
      <c r="V736" s="96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1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96"/>
      <c r="P737" s="96"/>
      <c r="Q737" s="96"/>
      <c r="R737" s="96"/>
      <c r="S737" s="96"/>
      <c r="T737" s="96"/>
      <c r="U737" s="96"/>
      <c r="V737" s="96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1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96"/>
      <c r="P738" s="96"/>
      <c r="Q738" s="96"/>
      <c r="R738" s="96"/>
      <c r="S738" s="96"/>
      <c r="T738" s="96"/>
      <c r="U738" s="96"/>
      <c r="V738" s="96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1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96"/>
      <c r="P739" s="96"/>
      <c r="Q739" s="96"/>
      <c r="R739" s="96"/>
      <c r="S739" s="96"/>
      <c r="T739" s="96"/>
      <c r="U739" s="96"/>
      <c r="V739" s="96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1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96"/>
      <c r="P740" s="96"/>
      <c r="Q740" s="96"/>
      <c r="R740" s="96"/>
      <c r="S740" s="96"/>
      <c r="T740" s="96"/>
      <c r="U740" s="96"/>
      <c r="V740" s="96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1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96"/>
      <c r="P741" s="96"/>
      <c r="Q741" s="96"/>
      <c r="R741" s="96"/>
      <c r="S741" s="96"/>
      <c r="T741" s="96"/>
      <c r="U741" s="96"/>
      <c r="V741" s="96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1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96"/>
      <c r="P742" s="96"/>
      <c r="Q742" s="96"/>
      <c r="R742" s="96"/>
      <c r="S742" s="96"/>
      <c r="T742" s="96"/>
      <c r="U742" s="96"/>
      <c r="V742" s="96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1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96"/>
      <c r="P743" s="96"/>
      <c r="Q743" s="96"/>
      <c r="R743" s="96"/>
      <c r="S743" s="96"/>
      <c r="T743" s="96"/>
      <c r="U743" s="96"/>
      <c r="V743" s="96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1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96"/>
      <c r="P744" s="96"/>
      <c r="Q744" s="96"/>
      <c r="R744" s="96"/>
      <c r="S744" s="96"/>
      <c r="T744" s="96"/>
      <c r="U744" s="96"/>
      <c r="V744" s="96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1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96"/>
      <c r="P745" s="96"/>
      <c r="Q745" s="96"/>
      <c r="R745" s="96"/>
      <c r="S745" s="96"/>
      <c r="T745" s="96"/>
      <c r="U745" s="96"/>
      <c r="V745" s="96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1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96"/>
      <c r="P746" s="96"/>
      <c r="Q746" s="96"/>
      <c r="R746" s="96"/>
      <c r="S746" s="96"/>
      <c r="T746" s="96"/>
      <c r="U746" s="96"/>
      <c r="V746" s="96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1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96"/>
      <c r="P747" s="96"/>
      <c r="Q747" s="96"/>
      <c r="R747" s="96"/>
      <c r="S747" s="96"/>
      <c r="T747" s="96"/>
      <c r="U747" s="96"/>
      <c r="V747" s="96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1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96"/>
      <c r="P748" s="96"/>
      <c r="Q748" s="96"/>
      <c r="R748" s="96"/>
      <c r="S748" s="96"/>
      <c r="T748" s="96"/>
      <c r="U748" s="96"/>
      <c r="V748" s="96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1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96"/>
      <c r="P749" s="96"/>
      <c r="Q749" s="96"/>
      <c r="R749" s="96"/>
      <c r="S749" s="96"/>
      <c r="T749" s="96"/>
      <c r="U749" s="96"/>
      <c r="V749" s="96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1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96"/>
      <c r="P750" s="96"/>
      <c r="Q750" s="96"/>
      <c r="R750" s="96"/>
      <c r="S750" s="96"/>
      <c r="T750" s="96"/>
      <c r="U750" s="96"/>
      <c r="V750" s="96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1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96"/>
      <c r="P751" s="96"/>
      <c r="Q751" s="96"/>
      <c r="R751" s="96"/>
      <c r="S751" s="96"/>
      <c r="T751" s="96"/>
      <c r="U751" s="96"/>
      <c r="V751" s="96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1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96"/>
      <c r="P752" s="96"/>
      <c r="Q752" s="96"/>
      <c r="R752" s="96"/>
      <c r="S752" s="96"/>
      <c r="T752" s="96"/>
      <c r="U752" s="96"/>
      <c r="V752" s="96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1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96"/>
      <c r="P753" s="96"/>
      <c r="Q753" s="96"/>
      <c r="R753" s="96"/>
      <c r="S753" s="96"/>
      <c r="T753" s="96"/>
      <c r="U753" s="96"/>
      <c r="V753" s="96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1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96"/>
      <c r="P754" s="96"/>
      <c r="Q754" s="96"/>
      <c r="R754" s="96"/>
      <c r="S754" s="96"/>
      <c r="T754" s="96"/>
      <c r="U754" s="96"/>
      <c r="V754" s="96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96"/>
      <c r="P755" s="96"/>
      <c r="Q755" s="96"/>
      <c r="R755" s="96"/>
      <c r="S755" s="96"/>
      <c r="T755" s="96"/>
      <c r="U755" s="96"/>
      <c r="V755" s="96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1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96"/>
      <c r="P756" s="96"/>
      <c r="Q756" s="96"/>
      <c r="R756" s="96"/>
      <c r="S756" s="96"/>
      <c r="T756" s="96"/>
      <c r="U756" s="96"/>
      <c r="V756" s="96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1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96"/>
      <c r="P757" s="96"/>
      <c r="Q757" s="96"/>
      <c r="R757" s="96"/>
      <c r="S757" s="96"/>
      <c r="T757" s="96"/>
      <c r="U757" s="96"/>
      <c r="V757" s="96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1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96"/>
      <c r="P758" s="96"/>
      <c r="Q758" s="96"/>
      <c r="R758" s="96"/>
      <c r="S758" s="96"/>
      <c r="T758" s="96"/>
      <c r="U758" s="96"/>
      <c r="V758" s="96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1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96"/>
      <c r="P759" s="96"/>
      <c r="Q759" s="96"/>
      <c r="R759" s="96"/>
      <c r="S759" s="96"/>
      <c r="T759" s="96"/>
      <c r="U759" s="96"/>
      <c r="V759" s="96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1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96"/>
      <c r="P760" s="96"/>
      <c r="Q760" s="96"/>
      <c r="R760" s="96"/>
      <c r="S760" s="96"/>
      <c r="T760" s="96"/>
      <c r="U760" s="96"/>
      <c r="V760" s="96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1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96"/>
      <c r="P761" s="96"/>
      <c r="Q761" s="96"/>
      <c r="R761" s="96"/>
      <c r="S761" s="96"/>
      <c r="T761" s="96"/>
      <c r="U761" s="96"/>
      <c r="V761" s="96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1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96"/>
      <c r="P762" s="96"/>
      <c r="Q762" s="96"/>
      <c r="R762" s="96"/>
      <c r="S762" s="96"/>
      <c r="T762" s="96"/>
      <c r="U762" s="96"/>
      <c r="V762" s="96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1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96"/>
      <c r="P763" s="96"/>
      <c r="Q763" s="96"/>
      <c r="R763" s="96"/>
      <c r="S763" s="96"/>
      <c r="T763" s="96"/>
      <c r="U763" s="96"/>
      <c r="V763" s="96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1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96"/>
      <c r="P764" s="96"/>
      <c r="Q764" s="96"/>
      <c r="R764" s="96"/>
      <c r="S764" s="96"/>
      <c r="T764" s="96"/>
      <c r="U764" s="96"/>
      <c r="V764" s="96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1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96"/>
      <c r="P765" s="96"/>
      <c r="Q765" s="96"/>
      <c r="R765" s="96"/>
      <c r="S765" s="96"/>
      <c r="T765" s="96"/>
      <c r="U765" s="96"/>
      <c r="V765" s="96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1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96"/>
      <c r="P766" s="96"/>
      <c r="Q766" s="96"/>
      <c r="R766" s="96"/>
      <c r="S766" s="96"/>
      <c r="T766" s="96"/>
      <c r="U766" s="96"/>
      <c r="V766" s="96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1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96"/>
      <c r="P767" s="96"/>
      <c r="Q767" s="96"/>
      <c r="R767" s="96"/>
      <c r="S767" s="96"/>
      <c r="T767" s="96"/>
      <c r="U767" s="96"/>
      <c r="V767" s="96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1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96"/>
      <c r="P768" s="96"/>
      <c r="Q768" s="96"/>
      <c r="R768" s="96"/>
      <c r="S768" s="96"/>
      <c r="T768" s="96"/>
      <c r="U768" s="96"/>
      <c r="V768" s="96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1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96"/>
      <c r="P769" s="96"/>
      <c r="Q769" s="96"/>
      <c r="R769" s="96"/>
      <c r="S769" s="96"/>
      <c r="T769" s="96"/>
      <c r="U769" s="96"/>
      <c r="V769" s="96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1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96"/>
      <c r="P770" s="96"/>
      <c r="Q770" s="96"/>
      <c r="R770" s="96"/>
      <c r="S770" s="96"/>
      <c r="T770" s="96"/>
      <c r="U770" s="96"/>
      <c r="V770" s="96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1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96"/>
      <c r="P771" s="96"/>
      <c r="Q771" s="96"/>
      <c r="R771" s="96"/>
      <c r="S771" s="96"/>
      <c r="T771" s="96"/>
      <c r="U771" s="96"/>
      <c r="V771" s="96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1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96"/>
      <c r="P772" s="96"/>
      <c r="Q772" s="96"/>
      <c r="R772" s="96"/>
      <c r="S772" s="96"/>
      <c r="T772" s="96"/>
      <c r="U772" s="96"/>
      <c r="V772" s="96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1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96"/>
      <c r="P773" s="96"/>
      <c r="Q773" s="96"/>
      <c r="R773" s="96"/>
      <c r="S773" s="96"/>
      <c r="T773" s="96"/>
      <c r="U773" s="96"/>
      <c r="V773" s="96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1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96"/>
      <c r="P774" s="96"/>
      <c r="Q774" s="96"/>
      <c r="R774" s="96"/>
      <c r="S774" s="96"/>
      <c r="T774" s="96"/>
      <c r="U774" s="96"/>
      <c r="V774" s="96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1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96"/>
      <c r="P775" s="96"/>
      <c r="Q775" s="96"/>
      <c r="R775" s="96"/>
      <c r="S775" s="96"/>
      <c r="T775" s="96"/>
      <c r="U775" s="96"/>
      <c r="V775" s="96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1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96"/>
      <c r="P776" s="96"/>
      <c r="Q776" s="96"/>
      <c r="R776" s="96"/>
      <c r="S776" s="96"/>
      <c r="T776" s="96"/>
      <c r="U776" s="96"/>
      <c r="V776" s="96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1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96"/>
      <c r="P777" s="96"/>
      <c r="Q777" s="96"/>
      <c r="R777" s="96"/>
      <c r="S777" s="96"/>
      <c r="T777" s="96"/>
      <c r="U777" s="96"/>
      <c r="V777" s="96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1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96"/>
      <c r="P778" s="96"/>
      <c r="Q778" s="96"/>
      <c r="R778" s="96"/>
      <c r="S778" s="96"/>
      <c r="T778" s="96"/>
      <c r="U778" s="96"/>
      <c r="V778" s="96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1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96"/>
      <c r="P779" s="96"/>
      <c r="Q779" s="96"/>
      <c r="R779" s="96"/>
      <c r="S779" s="96"/>
      <c r="T779" s="96"/>
      <c r="U779" s="96"/>
      <c r="V779" s="96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1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96"/>
      <c r="P780" s="96"/>
      <c r="Q780" s="96"/>
      <c r="R780" s="96"/>
      <c r="S780" s="96"/>
      <c r="T780" s="96"/>
      <c r="U780" s="96"/>
      <c r="V780" s="96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1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96"/>
      <c r="P781" s="96"/>
      <c r="Q781" s="96"/>
      <c r="R781" s="96"/>
      <c r="S781" s="96"/>
      <c r="T781" s="96"/>
      <c r="U781" s="96"/>
      <c r="V781" s="96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1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96"/>
      <c r="P782" s="96"/>
      <c r="Q782" s="96"/>
      <c r="R782" s="96"/>
      <c r="S782" s="96"/>
      <c r="T782" s="96"/>
      <c r="U782" s="96"/>
      <c r="V782" s="96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1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96"/>
      <c r="P783" s="96"/>
      <c r="Q783" s="96"/>
      <c r="R783" s="96"/>
      <c r="S783" s="96"/>
      <c r="T783" s="96"/>
      <c r="U783" s="96"/>
      <c r="V783" s="96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96"/>
      <c r="P784" s="96"/>
      <c r="Q784" s="96"/>
      <c r="R784" s="96"/>
      <c r="S784" s="96"/>
      <c r="T784" s="96"/>
      <c r="U784" s="96"/>
      <c r="V784" s="96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1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96"/>
      <c r="P785" s="96"/>
      <c r="Q785" s="96"/>
      <c r="R785" s="96"/>
      <c r="S785" s="96"/>
      <c r="T785" s="96"/>
      <c r="U785" s="96"/>
      <c r="V785" s="96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1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96"/>
      <c r="P786" s="96"/>
      <c r="Q786" s="96"/>
      <c r="R786" s="96"/>
      <c r="S786" s="96"/>
      <c r="T786" s="96"/>
      <c r="U786" s="96"/>
      <c r="V786" s="96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1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96"/>
      <c r="P787" s="96"/>
      <c r="Q787" s="96"/>
      <c r="R787" s="96"/>
      <c r="S787" s="96"/>
      <c r="T787" s="96"/>
      <c r="U787" s="96"/>
      <c r="V787" s="96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1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96"/>
      <c r="P788" s="96"/>
      <c r="Q788" s="96"/>
      <c r="R788" s="96"/>
      <c r="S788" s="96"/>
      <c r="T788" s="96"/>
      <c r="U788" s="96"/>
      <c r="V788" s="96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1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96"/>
      <c r="P789" s="96"/>
      <c r="Q789" s="96"/>
      <c r="R789" s="96"/>
      <c r="S789" s="96"/>
      <c r="T789" s="96"/>
      <c r="U789" s="96"/>
      <c r="V789" s="96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1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96"/>
      <c r="P790" s="96"/>
      <c r="Q790" s="96"/>
      <c r="R790" s="96"/>
      <c r="S790" s="96"/>
      <c r="T790" s="96"/>
      <c r="U790" s="96"/>
      <c r="V790" s="96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1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96"/>
      <c r="P791" s="96"/>
      <c r="Q791" s="96"/>
      <c r="R791" s="96"/>
      <c r="S791" s="96"/>
      <c r="T791" s="96"/>
      <c r="U791" s="96"/>
      <c r="V791" s="96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1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96"/>
      <c r="P792" s="96"/>
      <c r="Q792" s="96"/>
      <c r="R792" s="96"/>
      <c r="S792" s="96"/>
      <c r="T792" s="96"/>
      <c r="U792" s="96"/>
      <c r="V792" s="96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1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96"/>
      <c r="P793" s="96"/>
      <c r="Q793" s="96"/>
      <c r="R793" s="96"/>
      <c r="S793" s="96"/>
      <c r="T793" s="96"/>
      <c r="U793" s="96"/>
      <c r="V793" s="96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1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96"/>
      <c r="P794" s="96"/>
      <c r="Q794" s="96"/>
      <c r="R794" s="96"/>
      <c r="S794" s="96"/>
      <c r="T794" s="96"/>
      <c r="U794" s="96"/>
      <c r="V794" s="96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1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96"/>
      <c r="P795" s="96"/>
      <c r="Q795" s="96"/>
      <c r="R795" s="96"/>
      <c r="S795" s="96"/>
      <c r="T795" s="96"/>
      <c r="U795" s="96"/>
      <c r="V795" s="96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1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96"/>
      <c r="P796" s="96"/>
      <c r="Q796" s="96"/>
      <c r="R796" s="96"/>
      <c r="S796" s="96"/>
      <c r="T796" s="96"/>
      <c r="U796" s="96"/>
      <c r="V796" s="96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1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96"/>
      <c r="P797" s="96"/>
      <c r="Q797" s="96"/>
      <c r="R797" s="96"/>
      <c r="S797" s="96"/>
      <c r="T797" s="96"/>
      <c r="U797" s="96"/>
      <c r="V797" s="96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1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96"/>
      <c r="P798" s="96"/>
      <c r="Q798" s="96"/>
      <c r="R798" s="96"/>
      <c r="S798" s="96"/>
      <c r="T798" s="96"/>
      <c r="U798" s="96"/>
      <c r="V798" s="96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1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96"/>
      <c r="P799" s="96"/>
      <c r="Q799" s="96"/>
      <c r="R799" s="96"/>
      <c r="S799" s="96"/>
      <c r="T799" s="96"/>
      <c r="U799" s="96"/>
      <c r="V799" s="96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1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96"/>
      <c r="P800" s="96"/>
      <c r="Q800" s="96"/>
      <c r="R800" s="96"/>
      <c r="S800" s="96"/>
      <c r="T800" s="96"/>
      <c r="U800" s="96"/>
      <c r="V800" s="96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1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96"/>
      <c r="P801" s="96"/>
      <c r="Q801" s="96"/>
      <c r="R801" s="96"/>
      <c r="S801" s="96"/>
      <c r="T801" s="96"/>
      <c r="U801" s="96"/>
      <c r="V801" s="96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1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96"/>
      <c r="P802" s="96"/>
      <c r="Q802" s="96"/>
      <c r="R802" s="96"/>
      <c r="S802" s="96"/>
      <c r="T802" s="96"/>
      <c r="U802" s="96"/>
      <c r="V802" s="96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1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96"/>
      <c r="P803" s="96"/>
      <c r="Q803" s="96"/>
      <c r="R803" s="96"/>
      <c r="S803" s="96"/>
      <c r="T803" s="96"/>
      <c r="U803" s="96"/>
      <c r="V803" s="96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1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96"/>
      <c r="P804" s="96"/>
      <c r="Q804" s="96"/>
      <c r="R804" s="96"/>
      <c r="S804" s="96"/>
      <c r="T804" s="96"/>
      <c r="U804" s="96"/>
      <c r="V804" s="96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1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96"/>
      <c r="P805" s="96"/>
      <c r="Q805" s="96"/>
      <c r="R805" s="96"/>
      <c r="S805" s="96"/>
      <c r="T805" s="96"/>
      <c r="U805" s="96"/>
      <c r="V805" s="96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1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96"/>
      <c r="P806" s="96"/>
      <c r="Q806" s="96"/>
      <c r="R806" s="96"/>
      <c r="S806" s="96"/>
      <c r="T806" s="96"/>
      <c r="U806" s="96"/>
      <c r="V806" s="96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1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96"/>
      <c r="P807" s="96"/>
      <c r="Q807" s="96"/>
      <c r="R807" s="96"/>
      <c r="S807" s="96"/>
      <c r="T807" s="96"/>
      <c r="U807" s="96"/>
      <c r="V807" s="96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1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96"/>
      <c r="P808" s="96"/>
      <c r="Q808" s="96"/>
      <c r="R808" s="96"/>
      <c r="S808" s="96"/>
      <c r="T808" s="96"/>
      <c r="U808" s="96"/>
      <c r="V808" s="96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1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96"/>
      <c r="P809" s="96"/>
      <c r="Q809" s="96"/>
      <c r="R809" s="96"/>
      <c r="S809" s="96"/>
      <c r="T809" s="96"/>
      <c r="U809" s="96"/>
      <c r="V809" s="96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1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96"/>
      <c r="P810" s="96"/>
      <c r="Q810" s="96"/>
      <c r="R810" s="96"/>
      <c r="S810" s="96"/>
      <c r="T810" s="96"/>
      <c r="U810" s="96"/>
      <c r="V810" s="96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1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96"/>
      <c r="P811" s="96"/>
      <c r="Q811" s="96"/>
      <c r="R811" s="96"/>
      <c r="S811" s="96"/>
      <c r="T811" s="96"/>
      <c r="U811" s="96"/>
      <c r="V811" s="96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1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96"/>
      <c r="P812" s="96"/>
      <c r="Q812" s="96"/>
      <c r="R812" s="96"/>
      <c r="S812" s="96"/>
      <c r="T812" s="96"/>
      <c r="U812" s="96"/>
      <c r="V812" s="96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1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96"/>
      <c r="P813" s="96"/>
      <c r="Q813" s="96"/>
      <c r="R813" s="96"/>
      <c r="S813" s="96"/>
      <c r="T813" s="96"/>
      <c r="U813" s="96"/>
      <c r="V813" s="96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1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96"/>
      <c r="P814" s="96"/>
      <c r="Q814" s="96"/>
      <c r="R814" s="96"/>
      <c r="S814" s="96"/>
      <c r="T814" s="96"/>
      <c r="U814" s="96"/>
      <c r="V814" s="96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96"/>
      <c r="P815" s="96"/>
      <c r="Q815" s="96"/>
      <c r="R815" s="96"/>
      <c r="S815" s="96"/>
      <c r="T815" s="96"/>
      <c r="U815" s="96"/>
      <c r="V815" s="96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1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96"/>
      <c r="P816" s="96"/>
      <c r="Q816" s="96"/>
      <c r="R816" s="96"/>
      <c r="S816" s="96"/>
      <c r="T816" s="96"/>
      <c r="U816" s="96"/>
      <c r="V816" s="96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1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96"/>
      <c r="P817" s="96"/>
      <c r="Q817" s="96"/>
      <c r="R817" s="96"/>
      <c r="S817" s="96"/>
      <c r="T817" s="96"/>
      <c r="U817" s="96"/>
      <c r="V817" s="96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1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96"/>
      <c r="P818" s="96"/>
      <c r="Q818" s="96"/>
      <c r="R818" s="96"/>
      <c r="S818" s="96"/>
      <c r="T818" s="96"/>
      <c r="U818" s="96"/>
      <c r="V818" s="96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1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96"/>
      <c r="P819" s="96"/>
      <c r="Q819" s="96"/>
      <c r="R819" s="96"/>
      <c r="S819" s="96"/>
      <c r="T819" s="96"/>
      <c r="U819" s="96"/>
      <c r="V819" s="96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1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96"/>
      <c r="P820" s="96"/>
      <c r="Q820" s="96"/>
      <c r="R820" s="96"/>
      <c r="S820" s="96"/>
      <c r="T820" s="96"/>
      <c r="U820" s="96"/>
      <c r="V820" s="96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1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96"/>
      <c r="P821" s="96"/>
      <c r="Q821" s="96"/>
      <c r="R821" s="96"/>
      <c r="S821" s="96"/>
      <c r="T821" s="96"/>
      <c r="U821" s="96"/>
      <c r="V821" s="96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1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96"/>
      <c r="P822" s="96"/>
      <c r="Q822" s="96"/>
      <c r="R822" s="96"/>
      <c r="S822" s="96"/>
      <c r="T822" s="96"/>
      <c r="U822" s="96"/>
      <c r="V822" s="96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1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96"/>
      <c r="P823" s="96"/>
      <c r="Q823" s="96"/>
      <c r="R823" s="96"/>
      <c r="S823" s="96"/>
      <c r="T823" s="96"/>
      <c r="U823" s="96"/>
      <c r="V823" s="96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1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96"/>
      <c r="P824" s="96"/>
      <c r="Q824" s="96"/>
      <c r="R824" s="96"/>
      <c r="S824" s="96"/>
      <c r="T824" s="96"/>
      <c r="U824" s="96"/>
      <c r="V824" s="96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1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96"/>
      <c r="P825" s="96"/>
      <c r="Q825" s="96"/>
      <c r="R825" s="96"/>
      <c r="S825" s="96"/>
      <c r="T825" s="96"/>
      <c r="U825" s="96"/>
      <c r="V825" s="96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1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96"/>
      <c r="P826" s="96"/>
      <c r="Q826" s="96"/>
      <c r="R826" s="96"/>
      <c r="S826" s="96"/>
      <c r="T826" s="96"/>
      <c r="U826" s="96"/>
      <c r="V826" s="96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1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96"/>
      <c r="P827" s="96"/>
      <c r="Q827" s="96"/>
      <c r="R827" s="96"/>
      <c r="S827" s="96"/>
      <c r="T827" s="96"/>
      <c r="U827" s="96"/>
      <c r="V827" s="96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1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96"/>
      <c r="P828" s="96"/>
      <c r="Q828" s="96"/>
      <c r="R828" s="96"/>
      <c r="S828" s="96"/>
      <c r="T828" s="96"/>
      <c r="U828" s="96"/>
      <c r="V828" s="96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1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96"/>
      <c r="P829" s="96"/>
      <c r="Q829" s="96"/>
      <c r="R829" s="96"/>
      <c r="S829" s="96"/>
      <c r="T829" s="96"/>
      <c r="U829" s="96"/>
      <c r="V829" s="96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1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96"/>
      <c r="P830" s="96"/>
      <c r="Q830" s="96"/>
      <c r="R830" s="96"/>
      <c r="S830" s="96"/>
      <c r="T830" s="96"/>
      <c r="U830" s="96"/>
      <c r="V830" s="96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1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96"/>
      <c r="P831" s="96"/>
      <c r="Q831" s="96"/>
      <c r="R831" s="96"/>
      <c r="S831" s="96"/>
      <c r="T831" s="96"/>
      <c r="U831" s="96"/>
      <c r="V831" s="96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1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96"/>
      <c r="P832" s="96"/>
      <c r="Q832" s="96"/>
      <c r="R832" s="96"/>
      <c r="S832" s="96"/>
      <c r="T832" s="96"/>
      <c r="U832" s="96"/>
      <c r="V832" s="96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1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96"/>
      <c r="P833" s="96"/>
      <c r="Q833" s="96"/>
      <c r="R833" s="96"/>
      <c r="S833" s="96"/>
      <c r="T833" s="96"/>
      <c r="U833" s="96"/>
      <c r="V833" s="96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1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96"/>
      <c r="P834" s="96"/>
      <c r="Q834" s="96"/>
      <c r="R834" s="96"/>
      <c r="S834" s="96"/>
      <c r="T834" s="96"/>
      <c r="U834" s="96"/>
      <c r="V834" s="96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1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96"/>
      <c r="P835" s="96"/>
      <c r="Q835" s="96"/>
      <c r="R835" s="96"/>
      <c r="S835" s="96"/>
      <c r="T835" s="96"/>
      <c r="U835" s="96"/>
      <c r="V835" s="96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1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96"/>
      <c r="P836" s="96"/>
      <c r="Q836" s="96"/>
      <c r="R836" s="96"/>
      <c r="S836" s="96"/>
      <c r="T836" s="96"/>
      <c r="U836" s="96"/>
      <c r="V836" s="96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1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96"/>
      <c r="P837" s="96"/>
      <c r="Q837" s="96"/>
      <c r="R837" s="96"/>
      <c r="S837" s="96"/>
      <c r="T837" s="96"/>
      <c r="U837" s="96"/>
      <c r="V837" s="96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1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96"/>
      <c r="P838" s="96"/>
      <c r="Q838" s="96"/>
      <c r="R838" s="96"/>
      <c r="S838" s="96"/>
      <c r="T838" s="96"/>
      <c r="U838" s="96"/>
      <c r="V838" s="96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1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96"/>
      <c r="P839" s="96"/>
      <c r="Q839" s="96"/>
      <c r="R839" s="96"/>
      <c r="S839" s="96"/>
      <c r="T839" s="96"/>
      <c r="U839" s="96"/>
      <c r="V839" s="96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1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96"/>
      <c r="P840" s="96"/>
      <c r="Q840" s="96"/>
      <c r="R840" s="96"/>
      <c r="S840" s="96"/>
      <c r="T840" s="96"/>
      <c r="U840" s="96"/>
      <c r="V840" s="96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1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96"/>
      <c r="P841" s="96"/>
      <c r="Q841" s="96"/>
      <c r="R841" s="96"/>
      <c r="S841" s="96"/>
      <c r="T841" s="96"/>
      <c r="U841" s="96"/>
      <c r="V841" s="96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1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96"/>
      <c r="P842" s="96"/>
      <c r="Q842" s="96"/>
      <c r="R842" s="96"/>
      <c r="S842" s="96"/>
      <c r="T842" s="96"/>
      <c r="U842" s="96"/>
      <c r="V842" s="96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1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96"/>
      <c r="P843" s="96"/>
      <c r="Q843" s="96"/>
      <c r="R843" s="96"/>
      <c r="S843" s="96"/>
      <c r="T843" s="96"/>
      <c r="U843" s="96"/>
      <c r="V843" s="96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96"/>
      <c r="P844" s="96"/>
      <c r="Q844" s="96"/>
      <c r="R844" s="96"/>
      <c r="S844" s="96"/>
      <c r="T844" s="96"/>
      <c r="U844" s="96"/>
      <c r="V844" s="96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1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96"/>
      <c r="P845" s="96"/>
      <c r="Q845" s="96"/>
      <c r="R845" s="96"/>
      <c r="S845" s="96"/>
      <c r="T845" s="96"/>
      <c r="U845" s="96"/>
      <c r="V845" s="96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1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96"/>
      <c r="P846" s="96"/>
      <c r="Q846" s="96"/>
      <c r="R846" s="96"/>
      <c r="S846" s="96"/>
      <c r="T846" s="96"/>
      <c r="U846" s="96"/>
      <c r="V846" s="96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1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96"/>
      <c r="P847" s="96"/>
      <c r="Q847" s="96"/>
      <c r="R847" s="96"/>
      <c r="S847" s="96"/>
      <c r="T847" s="96"/>
      <c r="U847" s="96"/>
      <c r="V847" s="96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1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96"/>
      <c r="P848" s="96"/>
      <c r="Q848" s="96"/>
      <c r="R848" s="96"/>
      <c r="S848" s="96"/>
      <c r="T848" s="96"/>
      <c r="U848" s="96"/>
      <c r="V848" s="96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1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96"/>
      <c r="P849" s="96"/>
      <c r="Q849" s="96"/>
      <c r="R849" s="96"/>
      <c r="S849" s="96"/>
      <c r="T849" s="96"/>
      <c r="U849" s="96"/>
      <c r="V849" s="96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1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96"/>
      <c r="P850" s="96"/>
      <c r="Q850" s="96"/>
      <c r="R850" s="96"/>
      <c r="S850" s="96"/>
      <c r="T850" s="96"/>
      <c r="U850" s="96"/>
      <c r="V850" s="96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1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96"/>
      <c r="P851" s="96"/>
      <c r="Q851" s="96"/>
      <c r="R851" s="96"/>
      <c r="S851" s="96"/>
      <c r="T851" s="96"/>
      <c r="U851" s="96"/>
      <c r="V851" s="96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1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96"/>
      <c r="P852" s="96"/>
      <c r="Q852" s="96"/>
      <c r="R852" s="96"/>
      <c r="S852" s="96"/>
      <c r="T852" s="96"/>
      <c r="U852" s="96"/>
      <c r="V852" s="96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1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96"/>
      <c r="P853" s="96"/>
      <c r="Q853" s="96"/>
      <c r="R853" s="96"/>
      <c r="S853" s="96"/>
      <c r="T853" s="96"/>
      <c r="U853" s="96"/>
      <c r="V853" s="96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1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96"/>
      <c r="P854" s="96"/>
      <c r="Q854" s="96"/>
      <c r="R854" s="96"/>
      <c r="S854" s="96"/>
      <c r="T854" s="96"/>
      <c r="U854" s="96"/>
      <c r="V854" s="96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1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96"/>
      <c r="P855" s="96"/>
      <c r="Q855" s="96"/>
      <c r="R855" s="96"/>
      <c r="S855" s="96"/>
      <c r="T855" s="96"/>
      <c r="U855" s="96"/>
      <c r="V855" s="96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1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96"/>
      <c r="P856" s="96"/>
      <c r="Q856" s="96"/>
      <c r="R856" s="96"/>
      <c r="S856" s="96"/>
      <c r="T856" s="96"/>
      <c r="U856" s="96"/>
      <c r="V856" s="96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1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96"/>
      <c r="P857" s="96"/>
      <c r="Q857" s="96"/>
      <c r="R857" s="96"/>
      <c r="S857" s="96"/>
      <c r="T857" s="96"/>
      <c r="U857" s="96"/>
      <c r="V857" s="96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1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96"/>
      <c r="P858" s="96"/>
      <c r="Q858" s="96"/>
      <c r="R858" s="96"/>
      <c r="S858" s="96"/>
      <c r="T858" s="96"/>
      <c r="U858" s="96"/>
      <c r="V858" s="96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1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96"/>
      <c r="P859" s="96"/>
      <c r="Q859" s="96"/>
      <c r="R859" s="96"/>
      <c r="S859" s="96"/>
      <c r="T859" s="96"/>
      <c r="U859" s="96"/>
      <c r="V859" s="96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1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96"/>
      <c r="P860" s="96"/>
      <c r="Q860" s="96"/>
      <c r="R860" s="96"/>
      <c r="S860" s="96"/>
      <c r="T860" s="96"/>
      <c r="U860" s="96"/>
      <c r="V860" s="96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1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96"/>
      <c r="P861" s="96"/>
      <c r="Q861" s="96"/>
      <c r="R861" s="96"/>
      <c r="S861" s="96"/>
      <c r="T861" s="96"/>
      <c r="U861" s="96"/>
      <c r="V861" s="96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1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96"/>
      <c r="P862" s="96"/>
      <c r="Q862" s="96"/>
      <c r="R862" s="96"/>
      <c r="S862" s="96"/>
      <c r="T862" s="96"/>
      <c r="U862" s="96"/>
      <c r="V862" s="96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1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96"/>
      <c r="P863" s="96"/>
      <c r="Q863" s="96"/>
      <c r="R863" s="96"/>
      <c r="S863" s="96"/>
      <c r="T863" s="96"/>
      <c r="U863" s="96"/>
      <c r="V863" s="96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1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96"/>
      <c r="P864" s="96"/>
      <c r="Q864" s="96"/>
      <c r="R864" s="96"/>
      <c r="S864" s="96"/>
      <c r="T864" s="96"/>
      <c r="U864" s="96"/>
      <c r="V864" s="96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1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96"/>
      <c r="P865" s="96"/>
      <c r="Q865" s="96"/>
      <c r="R865" s="96"/>
      <c r="S865" s="96"/>
      <c r="T865" s="96"/>
      <c r="U865" s="96"/>
      <c r="V865" s="96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1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96"/>
      <c r="P866" s="96"/>
      <c r="Q866" s="96"/>
      <c r="R866" s="96"/>
      <c r="S866" s="96"/>
      <c r="T866" s="96"/>
      <c r="U866" s="96"/>
      <c r="V866" s="96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1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96"/>
      <c r="P867" s="96"/>
      <c r="Q867" s="96"/>
      <c r="R867" s="96"/>
      <c r="S867" s="96"/>
      <c r="T867" s="96"/>
      <c r="U867" s="96"/>
      <c r="V867" s="96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1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96"/>
      <c r="P868" s="96"/>
      <c r="Q868" s="96"/>
      <c r="R868" s="96"/>
      <c r="S868" s="96"/>
      <c r="T868" s="96"/>
      <c r="U868" s="96"/>
      <c r="V868" s="96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1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96"/>
      <c r="P869" s="96"/>
      <c r="Q869" s="96"/>
      <c r="R869" s="96"/>
      <c r="S869" s="96"/>
      <c r="T869" s="96"/>
      <c r="U869" s="96"/>
      <c r="V869" s="96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1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96"/>
      <c r="P870" s="96"/>
      <c r="Q870" s="96"/>
      <c r="R870" s="96"/>
      <c r="S870" s="96"/>
      <c r="T870" s="96"/>
      <c r="U870" s="96"/>
      <c r="V870" s="96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1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96"/>
      <c r="P871" s="96"/>
      <c r="Q871" s="96"/>
      <c r="R871" s="96"/>
      <c r="S871" s="96"/>
      <c r="T871" s="96"/>
      <c r="U871" s="96"/>
      <c r="V871" s="96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1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96"/>
      <c r="P872" s="96"/>
      <c r="Q872" s="96"/>
      <c r="R872" s="96"/>
      <c r="S872" s="96"/>
      <c r="T872" s="96"/>
      <c r="U872" s="96"/>
      <c r="V872" s="96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1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96"/>
      <c r="P873" s="96"/>
      <c r="Q873" s="96"/>
      <c r="R873" s="96"/>
      <c r="S873" s="96"/>
      <c r="T873" s="96"/>
      <c r="U873" s="96"/>
      <c r="V873" s="96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1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96"/>
      <c r="P874" s="96"/>
      <c r="Q874" s="96"/>
      <c r="R874" s="96"/>
      <c r="S874" s="96"/>
      <c r="T874" s="96"/>
      <c r="U874" s="96"/>
      <c r="V874" s="96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96"/>
      <c r="P875" s="96"/>
      <c r="Q875" s="96"/>
      <c r="R875" s="96"/>
      <c r="S875" s="96"/>
      <c r="T875" s="96"/>
      <c r="U875" s="96"/>
      <c r="V875" s="96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1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96"/>
      <c r="P876" s="96"/>
      <c r="Q876" s="96"/>
      <c r="R876" s="96"/>
      <c r="S876" s="96"/>
      <c r="T876" s="96"/>
      <c r="U876" s="96"/>
      <c r="V876" s="96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1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96"/>
      <c r="P877" s="96"/>
      <c r="Q877" s="96"/>
      <c r="R877" s="96"/>
      <c r="S877" s="96"/>
      <c r="T877" s="96"/>
      <c r="U877" s="96"/>
      <c r="V877" s="96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1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96"/>
      <c r="P878" s="96"/>
      <c r="Q878" s="96"/>
      <c r="R878" s="96"/>
      <c r="S878" s="96"/>
      <c r="T878" s="96"/>
      <c r="U878" s="96"/>
      <c r="V878" s="96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1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96"/>
      <c r="P879" s="96"/>
      <c r="Q879" s="96"/>
      <c r="R879" s="96"/>
      <c r="S879" s="96"/>
      <c r="T879" s="96"/>
      <c r="U879" s="96"/>
      <c r="V879" s="96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1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96"/>
      <c r="P880" s="96"/>
      <c r="Q880" s="96"/>
      <c r="R880" s="96"/>
      <c r="S880" s="96"/>
      <c r="T880" s="96"/>
      <c r="U880" s="96"/>
      <c r="V880" s="96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1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96"/>
      <c r="P881" s="96"/>
      <c r="Q881" s="96"/>
      <c r="R881" s="96"/>
      <c r="S881" s="96"/>
      <c r="T881" s="96"/>
      <c r="U881" s="96"/>
      <c r="V881" s="96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1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96"/>
      <c r="P882" s="96"/>
      <c r="Q882" s="96"/>
      <c r="R882" s="96"/>
      <c r="S882" s="96"/>
      <c r="T882" s="96"/>
      <c r="U882" s="96"/>
      <c r="V882" s="96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1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96"/>
      <c r="P883" s="96"/>
      <c r="Q883" s="96"/>
      <c r="R883" s="96"/>
      <c r="S883" s="96"/>
      <c r="T883" s="96"/>
      <c r="U883" s="96"/>
      <c r="V883" s="96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1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96"/>
      <c r="P884" s="96"/>
      <c r="Q884" s="96"/>
      <c r="R884" s="96"/>
      <c r="S884" s="96"/>
      <c r="T884" s="96"/>
      <c r="U884" s="96"/>
      <c r="V884" s="96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1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96"/>
      <c r="P885" s="96"/>
      <c r="Q885" s="96"/>
      <c r="R885" s="96"/>
      <c r="S885" s="96"/>
      <c r="T885" s="96"/>
      <c r="U885" s="96"/>
      <c r="V885" s="96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1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96"/>
      <c r="P886" s="96"/>
      <c r="Q886" s="96"/>
      <c r="R886" s="96"/>
      <c r="S886" s="96"/>
      <c r="T886" s="96"/>
      <c r="U886" s="96"/>
      <c r="V886" s="96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1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96"/>
      <c r="P887" s="96"/>
      <c r="Q887" s="96"/>
      <c r="R887" s="96"/>
      <c r="S887" s="96"/>
      <c r="T887" s="96"/>
      <c r="U887" s="96"/>
      <c r="V887" s="96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1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96"/>
      <c r="P888" s="96"/>
      <c r="Q888" s="96"/>
      <c r="R888" s="96"/>
      <c r="S888" s="96"/>
      <c r="T888" s="96"/>
      <c r="U888" s="96"/>
      <c r="V888" s="96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1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96"/>
      <c r="P889" s="96"/>
      <c r="Q889" s="96"/>
      <c r="R889" s="96"/>
      <c r="S889" s="96"/>
      <c r="T889" s="96"/>
      <c r="U889" s="96"/>
      <c r="V889" s="96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1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96"/>
      <c r="P890" s="96"/>
      <c r="Q890" s="96"/>
      <c r="R890" s="96"/>
      <c r="S890" s="96"/>
      <c r="T890" s="96"/>
      <c r="U890" s="96"/>
      <c r="V890" s="96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1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96"/>
      <c r="P891" s="96"/>
      <c r="Q891" s="96"/>
      <c r="R891" s="96"/>
      <c r="S891" s="96"/>
      <c r="T891" s="96"/>
      <c r="U891" s="96"/>
      <c r="V891" s="96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1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96"/>
      <c r="P892" s="96"/>
      <c r="Q892" s="96"/>
      <c r="R892" s="96"/>
      <c r="S892" s="96"/>
      <c r="T892" s="96"/>
      <c r="U892" s="96"/>
      <c r="V892" s="96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1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96"/>
      <c r="P893" s="96"/>
      <c r="Q893" s="96"/>
      <c r="R893" s="96"/>
      <c r="S893" s="96"/>
      <c r="T893" s="96"/>
      <c r="U893" s="96"/>
      <c r="V893" s="96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1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96"/>
      <c r="P894" s="96"/>
      <c r="Q894" s="96"/>
      <c r="R894" s="96"/>
      <c r="S894" s="96"/>
      <c r="T894" s="96"/>
      <c r="U894" s="96"/>
      <c r="V894" s="96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1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96"/>
      <c r="P895" s="96"/>
      <c r="Q895" s="96"/>
      <c r="R895" s="96"/>
      <c r="S895" s="96"/>
      <c r="T895" s="96"/>
      <c r="U895" s="96"/>
      <c r="V895" s="96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1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96"/>
      <c r="P896" s="96"/>
      <c r="Q896" s="96"/>
      <c r="R896" s="96"/>
      <c r="S896" s="96"/>
      <c r="T896" s="96"/>
      <c r="U896" s="96"/>
      <c r="V896" s="96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1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96"/>
      <c r="P897" s="96"/>
      <c r="Q897" s="96"/>
      <c r="R897" s="96"/>
      <c r="S897" s="96"/>
      <c r="T897" s="96"/>
      <c r="U897" s="96"/>
      <c r="V897" s="96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1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96"/>
      <c r="P898" s="96"/>
      <c r="Q898" s="96"/>
      <c r="R898" s="96"/>
      <c r="S898" s="96"/>
      <c r="T898" s="96"/>
      <c r="U898" s="96"/>
      <c r="V898" s="96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1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96"/>
      <c r="P899" s="96"/>
      <c r="Q899" s="96"/>
      <c r="R899" s="96"/>
      <c r="S899" s="96"/>
      <c r="T899" s="96"/>
      <c r="U899" s="96"/>
      <c r="V899" s="96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1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96"/>
      <c r="P900" s="96"/>
      <c r="Q900" s="96"/>
      <c r="R900" s="96"/>
      <c r="S900" s="96"/>
      <c r="T900" s="96"/>
      <c r="U900" s="96"/>
      <c r="V900" s="96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1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96"/>
      <c r="P901" s="96"/>
      <c r="Q901" s="96"/>
      <c r="R901" s="96"/>
      <c r="S901" s="96"/>
      <c r="T901" s="96"/>
      <c r="U901" s="96"/>
      <c r="V901" s="96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1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96"/>
      <c r="P902" s="96"/>
      <c r="Q902" s="96"/>
      <c r="R902" s="96"/>
      <c r="S902" s="96"/>
      <c r="T902" s="96"/>
      <c r="U902" s="96"/>
      <c r="V902" s="96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1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96"/>
      <c r="P903" s="96"/>
      <c r="Q903" s="96"/>
      <c r="R903" s="96"/>
      <c r="S903" s="96"/>
      <c r="T903" s="96"/>
      <c r="U903" s="96"/>
      <c r="V903" s="96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96"/>
      <c r="P904" s="96"/>
      <c r="Q904" s="96"/>
      <c r="R904" s="96"/>
      <c r="S904" s="96"/>
      <c r="T904" s="96"/>
      <c r="U904" s="96"/>
      <c r="V904" s="96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1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96"/>
      <c r="P905" s="96"/>
      <c r="Q905" s="96"/>
      <c r="R905" s="96"/>
      <c r="S905" s="96"/>
      <c r="T905" s="96"/>
      <c r="U905" s="96"/>
      <c r="V905" s="96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1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96"/>
      <c r="P906" s="96"/>
      <c r="Q906" s="96"/>
      <c r="R906" s="96"/>
      <c r="S906" s="96"/>
      <c r="T906" s="96"/>
      <c r="U906" s="96"/>
      <c r="V906" s="96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1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96"/>
      <c r="P907" s="96"/>
      <c r="Q907" s="96"/>
      <c r="R907" s="96"/>
      <c r="S907" s="96"/>
      <c r="T907" s="96"/>
      <c r="U907" s="96"/>
      <c r="V907" s="96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1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96"/>
      <c r="P908" s="96"/>
      <c r="Q908" s="96"/>
      <c r="R908" s="96"/>
      <c r="S908" s="96"/>
      <c r="T908" s="96"/>
      <c r="U908" s="96"/>
      <c r="V908" s="96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1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96"/>
      <c r="P909" s="96"/>
      <c r="Q909" s="96"/>
      <c r="R909" s="96"/>
      <c r="S909" s="96"/>
      <c r="T909" s="96"/>
      <c r="U909" s="96"/>
      <c r="V909" s="96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1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96"/>
      <c r="P910" s="96"/>
      <c r="Q910" s="96"/>
      <c r="R910" s="96"/>
      <c r="S910" s="96"/>
      <c r="T910" s="96"/>
      <c r="U910" s="96"/>
      <c r="V910" s="96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1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96"/>
      <c r="P911" s="96"/>
      <c r="Q911" s="96"/>
      <c r="R911" s="96"/>
      <c r="S911" s="96"/>
      <c r="T911" s="96"/>
      <c r="U911" s="96"/>
      <c r="V911" s="96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1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96"/>
      <c r="P912" s="96"/>
      <c r="Q912" s="96"/>
      <c r="R912" s="96"/>
      <c r="S912" s="96"/>
      <c r="T912" s="96"/>
      <c r="U912" s="96"/>
      <c r="V912" s="96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1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96"/>
      <c r="P913" s="96"/>
      <c r="Q913" s="96"/>
      <c r="R913" s="96"/>
      <c r="S913" s="96"/>
      <c r="T913" s="96"/>
      <c r="U913" s="96"/>
      <c r="V913" s="96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1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96"/>
      <c r="P914" s="96"/>
      <c r="Q914" s="96"/>
      <c r="R914" s="96"/>
      <c r="S914" s="96"/>
      <c r="T914" s="96"/>
      <c r="U914" s="96"/>
      <c r="V914" s="96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1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96"/>
      <c r="P915" s="96"/>
      <c r="Q915" s="96"/>
      <c r="R915" s="96"/>
      <c r="S915" s="96"/>
      <c r="T915" s="96"/>
      <c r="U915" s="96"/>
      <c r="V915" s="96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1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96"/>
      <c r="P916" s="96"/>
      <c r="Q916" s="96"/>
      <c r="R916" s="96"/>
      <c r="S916" s="96"/>
      <c r="T916" s="96"/>
      <c r="U916" s="96"/>
      <c r="V916" s="96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1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96"/>
      <c r="P917" s="96"/>
      <c r="Q917" s="96"/>
      <c r="R917" s="96"/>
      <c r="S917" s="96"/>
      <c r="T917" s="96"/>
      <c r="U917" s="96"/>
      <c r="V917" s="96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1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96"/>
      <c r="P918" s="96"/>
      <c r="Q918" s="96"/>
      <c r="R918" s="96"/>
      <c r="S918" s="96"/>
      <c r="T918" s="96"/>
      <c r="U918" s="96"/>
      <c r="V918" s="96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1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96"/>
      <c r="P919" s="96"/>
      <c r="Q919" s="96"/>
      <c r="R919" s="96"/>
      <c r="S919" s="96"/>
      <c r="T919" s="96"/>
      <c r="U919" s="96"/>
      <c r="V919" s="96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1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96"/>
      <c r="P920" s="96"/>
      <c r="Q920" s="96"/>
      <c r="R920" s="96"/>
      <c r="S920" s="96"/>
      <c r="T920" s="96"/>
      <c r="U920" s="96"/>
      <c r="V920" s="96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1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96"/>
      <c r="P921" s="96"/>
      <c r="Q921" s="96"/>
      <c r="R921" s="96"/>
      <c r="S921" s="96"/>
      <c r="T921" s="96"/>
      <c r="U921" s="96"/>
      <c r="V921" s="96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1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96"/>
      <c r="P922" s="96"/>
      <c r="Q922" s="96"/>
      <c r="R922" s="96"/>
      <c r="S922" s="96"/>
      <c r="T922" s="96"/>
      <c r="U922" s="96"/>
      <c r="V922" s="96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1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96"/>
      <c r="P923" s="96"/>
      <c r="Q923" s="96"/>
      <c r="R923" s="96"/>
      <c r="S923" s="96"/>
      <c r="T923" s="96"/>
      <c r="U923" s="96"/>
      <c r="V923" s="96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1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96"/>
      <c r="P924" s="96"/>
      <c r="Q924" s="96"/>
      <c r="R924" s="96"/>
      <c r="S924" s="96"/>
      <c r="T924" s="96"/>
      <c r="U924" s="96"/>
      <c r="V924" s="96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1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96"/>
      <c r="P925" s="96"/>
      <c r="Q925" s="96"/>
      <c r="R925" s="96"/>
      <c r="S925" s="96"/>
      <c r="T925" s="96"/>
      <c r="U925" s="96"/>
      <c r="V925" s="96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1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96"/>
      <c r="P926" s="96"/>
      <c r="Q926" s="96"/>
      <c r="R926" s="96"/>
      <c r="S926" s="96"/>
      <c r="T926" s="96"/>
      <c r="U926" s="96"/>
      <c r="V926" s="96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1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96"/>
      <c r="P927" s="96"/>
      <c r="Q927" s="96"/>
      <c r="R927" s="96"/>
      <c r="S927" s="96"/>
      <c r="T927" s="96"/>
      <c r="U927" s="96"/>
      <c r="V927" s="96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1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96"/>
      <c r="P928" s="96"/>
      <c r="Q928" s="96"/>
      <c r="R928" s="96"/>
      <c r="S928" s="96"/>
      <c r="T928" s="96"/>
      <c r="U928" s="96"/>
      <c r="V928" s="96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1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96"/>
      <c r="P929" s="96"/>
      <c r="Q929" s="96"/>
      <c r="R929" s="96"/>
      <c r="S929" s="96"/>
      <c r="T929" s="96"/>
      <c r="U929" s="96"/>
      <c r="V929" s="96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1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96"/>
      <c r="P930" s="96"/>
      <c r="Q930" s="96"/>
      <c r="R930" s="96"/>
      <c r="S930" s="96"/>
      <c r="T930" s="96"/>
      <c r="U930" s="96"/>
      <c r="V930" s="96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1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96"/>
      <c r="P931" s="96"/>
      <c r="Q931" s="96"/>
      <c r="R931" s="96"/>
      <c r="S931" s="96"/>
      <c r="T931" s="96"/>
      <c r="U931" s="96"/>
      <c r="V931" s="96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1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96"/>
      <c r="P932" s="96"/>
      <c r="Q932" s="96"/>
      <c r="R932" s="96"/>
      <c r="S932" s="96"/>
      <c r="T932" s="96"/>
      <c r="U932" s="96"/>
      <c r="V932" s="96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1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96"/>
      <c r="P933" s="96"/>
      <c r="Q933" s="96"/>
      <c r="R933" s="96"/>
      <c r="S933" s="96"/>
      <c r="T933" s="96"/>
      <c r="U933" s="96"/>
      <c r="V933" s="96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1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96"/>
      <c r="P934" s="96"/>
      <c r="Q934" s="96"/>
      <c r="R934" s="96"/>
      <c r="S934" s="96"/>
      <c r="T934" s="96"/>
      <c r="U934" s="96"/>
      <c r="V934" s="96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96"/>
      <c r="P935" s="96"/>
      <c r="Q935" s="96"/>
      <c r="R935" s="96"/>
      <c r="S935" s="96"/>
      <c r="T935" s="96"/>
      <c r="U935" s="96"/>
      <c r="V935" s="96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1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96"/>
      <c r="P936" s="96"/>
      <c r="Q936" s="96"/>
      <c r="R936" s="96"/>
      <c r="S936" s="96"/>
      <c r="T936" s="96"/>
      <c r="U936" s="96"/>
      <c r="V936" s="96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1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96"/>
      <c r="P937" s="96"/>
      <c r="Q937" s="96"/>
      <c r="R937" s="96"/>
      <c r="S937" s="96"/>
      <c r="T937" s="96"/>
      <c r="U937" s="96"/>
      <c r="V937" s="96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1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96"/>
      <c r="P938" s="96"/>
      <c r="Q938" s="96"/>
      <c r="R938" s="96"/>
      <c r="S938" s="96"/>
      <c r="T938" s="96"/>
      <c r="U938" s="96"/>
      <c r="V938" s="96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1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96"/>
      <c r="P939" s="96"/>
      <c r="Q939" s="96"/>
      <c r="R939" s="96"/>
      <c r="S939" s="96"/>
      <c r="T939" s="96"/>
      <c r="U939" s="96"/>
      <c r="V939" s="96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1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96"/>
      <c r="P940" s="96"/>
      <c r="Q940" s="96"/>
      <c r="R940" s="96"/>
      <c r="S940" s="96"/>
      <c r="T940" s="96"/>
      <c r="U940" s="96"/>
      <c r="V940" s="96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1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96"/>
      <c r="P941" s="96"/>
      <c r="Q941" s="96"/>
      <c r="R941" s="96"/>
      <c r="S941" s="96"/>
      <c r="T941" s="96"/>
      <c r="U941" s="96"/>
      <c r="V941" s="96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1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96"/>
      <c r="P942" s="96"/>
      <c r="Q942" s="96"/>
      <c r="R942" s="96"/>
      <c r="S942" s="96"/>
      <c r="T942" s="96"/>
      <c r="U942" s="96"/>
      <c r="V942" s="96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1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96"/>
      <c r="P943" s="96"/>
      <c r="Q943" s="96"/>
      <c r="R943" s="96"/>
      <c r="S943" s="96"/>
      <c r="T943" s="96"/>
      <c r="U943" s="96"/>
      <c r="V943" s="96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1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96"/>
      <c r="P944" s="96"/>
      <c r="Q944" s="96"/>
      <c r="R944" s="96"/>
      <c r="S944" s="96"/>
      <c r="T944" s="96"/>
      <c r="U944" s="96"/>
      <c r="V944" s="96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1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96"/>
      <c r="P945" s="96"/>
      <c r="Q945" s="96"/>
      <c r="R945" s="96"/>
      <c r="S945" s="96"/>
      <c r="T945" s="96"/>
      <c r="U945" s="96"/>
      <c r="V945" s="96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1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96"/>
      <c r="P946" s="96"/>
      <c r="Q946" s="96"/>
      <c r="R946" s="96"/>
      <c r="S946" s="96"/>
      <c r="T946" s="96"/>
      <c r="U946" s="96"/>
      <c r="V946" s="96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1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96"/>
      <c r="P947" s="96"/>
      <c r="Q947" s="96"/>
      <c r="R947" s="96"/>
      <c r="S947" s="96"/>
      <c r="T947" s="96"/>
      <c r="U947" s="96"/>
      <c r="V947" s="96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1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96"/>
      <c r="P948" s="96"/>
      <c r="Q948" s="96"/>
      <c r="R948" s="96"/>
      <c r="S948" s="96"/>
      <c r="T948" s="96"/>
      <c r="U948" s="96"/>
      <c r="V948" s="96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1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96"/>
      <c r="P949" s="96"/>
      <c r="Q949" s="96"/>
      <c r="R949" s="96"/>
      <c r="S949" s="96"/>
      <c r="T949" s="96"/>
      <c r="U949" s="96"/>
      <c r="V949" s="96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1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96"/>
      <c r="P950" s="96"/>
      <c r="Q950" s="96"/>
      <c r="R950" s="96"/>
      <c r="S950" s="96"/>
      <c r="T950" s="96"/>
      <c r="U950" s="96"/>
      <c r="V950" s="96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1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96"/>
      <c r="P951" s="96"/>
      <c r="Q951" s="96"/>
      <c r="R951" s="96"/>
      <c r="S951" s="96"/>
      <c r="T951" s="96"/>
      <c r="U951" s="96"/>
      <c r="V951" s="96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1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96"/>
      <c r="P952" s="96"/>
      <c r="Q952" s="96"/>
      <c r="R952" s="96"/>
      <c r="S952" s="96"/>
      <c r="T952" s="96"/>
      <c r="U952" s="96"/>
      <c r="V952" s="96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1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96"/>
      <c r="P953" s="96"/>
      <c r="Q953" s="96"/>
      <c r="R953" s="96"/>
      <c r="S953" s="96"/>
      <c r="T953" s="96"/>
      <c r="U953" s="96"/>
      <c r="V953" s="96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1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96"/>
      <c r="P954" s="96"/>
      <c r="Q954" s="96"/>
      <c r="R954" s="96"/>
      <c r="S954" s="96"/>
      <c r="T954" s="96"/>
      <c r="U954" s="96"/>
      <c r="V954" s="96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1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96"/>
      <c r="P955" s="96"/>
      <c r="Q955" s="96"/>
      <c r="R955" s="96"/>
      <c r="S955" s="96"/>
      <c r="T955" s="96"/>
      <c r="U955" s="96"/>
      <c r="V955" s="96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1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96"/>
      <c r="P956" s="96"/>
      <c r="Q956" s="96"/>
      <c r="R956" s="96"/>
      <c r="S956" s="96"/>
      <c r="T956" s="96"/>
      <c r="U956" s="96"/>
      <c r="V956" s="96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1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96"/>
      <c r="P957" s="96"/>
      <c r="Q957" s="96"/>
      <c r="R957" s="96"/>
      <c r="S957" s="96"/>
      <c r="T957" s="96"/>
      <c r="U957" s="96"/>
      <c r="V957" s="96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1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96"/>
      <c r="P958" s="96"/>
      <c r="Q958" s="96"/>
      <c r="R958" s="96"/>
      <c r="S958" s="96"/>
      <c r="T958" s="96"/>
      <c r="U958" s="96"/>
      <c r="V958" s="96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1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96"/>
      <c r="P959" s="96"/>
      <c r="Q959" s="96"/>
      <c r="R959" s="96"/>
      <c r="S959" s="96"/>
      <c r="T959" s="96"/>
      <c r="U959" s="96"/>
      <c r="V959" s="96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1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96"/>
      <c r="P960" s="96"/>
      <c r="Q960" s="96"/>
      <c r="R960" s="96"/>
      <c r="S960" s="96"/>
      <c r="T960" s="96"/>
      <c r="U960" s="96"/>
      <c r="V960" s="96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1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96"/>
      <c r="P961" s="96"/>
      <c r="Q961" s="96"/>
      <c r="R961" s="96"/>
      <c r="S961" s="96"/>
      <c r="T961" s="96"/>
      <c r="U961" s="96"/>
      <c r="V961" s="96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1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96"/>
      <c r="P962" s="96"/>
      <c r="Q962" s="96"/>
      <c r="R962" s="96"/>
      <c r="S962" s="96"/>
      <c r="T962" s="96"/>
      <c r="U962" s="96"/>
      <c r="V962" s="96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1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96"/>
      <c r="P963" s="96"/>
      <c r="Q963" s="96"/>
      <c r="R963" s="96"/>
      <c r="S963" s="96"/>
      <c r="T963" s="96"/>
      <c r="U963" s="96"/>
      <c r="V963" s="96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96"/>
      <c r="P964" s="96"/>
      <c r="Q964" s="96"/>
      <c r="R964" s="96"/>
      <c r="S964" s="96"/>
      <c r="T964" s="96"/>
      <c r="U964" s="96"/>
      <c r="V964" s="96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1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96"/>
      <c r="P965" s="96"/>
      <c r="Q965" s="96"/>
      <c r="R965" s="96"/>
      <c r="S965" s="96"/>
      <c r="T965" s="96"/>
      <c r="U965" s="96"/>
      <c r="V965" s="96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1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96"/>
      <c r="P966" s="96"/>
      <c r="Q966" s="96"/>
      <c r="R966" s="96"/>
      <c r="S966" s="96"/>
      <c r="T966" s="96"/>
      <c r="U966" s="96"/>
      <c r="V966" s="96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1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96"/>
      <c r="P967" s="96"/>
      <c r="Q967" s="96"/>
      <c r="R967" s="96"/>
      <c r="S967" s="96"/>
      <c r="T967" s="96"/>
      <c r="U967" s="96"/>
      <c r="V967" s="96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1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96"/>
      <c r="P968" s="96"/>
      <c r="Q968" s="96"/>
      <c r="R968" s="96"/>
      <c r="S968" s="96"/>
      <c r="T968" s="96"/>
      <c r="U968" s="96"/>
      <c r="V968" s="96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1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96"/>
      <c r="P969" s="96"/>
      <c r="Q969" s="96"/>
      <c r="R969" s="96"/>
      <c r="S969" s="96"/>
      <c r="T969" s="96"/>
      <c r="U969" s="96"/>
      <c r="V969" s="96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1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96"/>
      <c r="P970" s="96"/>
      <c r="Q970" s="96"/>
      <c r="R970" s="96"/>
      <c r="S970" s="96"/>
      <c r="T970" s="96"/>
      <c r="U970" s="96"/>
      <c r="V970" s="96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1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96"/>
      <c r="P971" s="96"/>
      <c r="Q971" s="96"/>
      <c r="R971" s="96"/>
      <c r="S971" s="96"/>
      <c r="T971" s="96"/>
      <c r="U971" s="96"/>
      <c r="V971" s="96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1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96"/>
      <c r="P972" s="96"/>
      <c r="Q972" s="96"/>
      <c r="R972" s="96"/>
      <c r="S972" s="96"/>
      <c r="T972" s="96"/>
      <c r="U972" s="96"/>
      <c r="V972" s="96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1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96"/>
      <c r="P973" s="96"/>
      <c r="Q973" s="96"/>
      <c r="R973" s="96"/>
      <c r="S973" s="96"/>
      <c r="T973" s="96"/>
      <c r="U973" s="96"/>
      <c r="V973" s="96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1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96"/>
      <c r="P974" s="96"/>
      <c r="Q974" s="96"/>
      <c r="R974" s="96"/>
      <c r="S974" s="96"/>
      <c r="T974" s="96"/>
      <c r="U974" s="96"/>
      <c r="V974" s="96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1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96"/>
      <c r="P975" s="96"/>
      <c r="Q975" s="96"/>
      <c r="R975" s="96"/>
      <c r="S975" s="96"/>
      <c r="T975" s="96"/>
      <c r="U975" s="96"/>
      <c r="V975" s="96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1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96"/>
      <c r="P976" s="96"/>
      <c r="Q976" s="96"/>
      <c r="R976" s="96"/>
      <c r="S976" s="96"/>
      <c r="T976" s="96"/>
      <c r="U976" s="96"/>
      <c r="V976" s="96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1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96"/>
      <c r="P977" s="96"/>
      <c r="Q977" s="96"/>
      <c r="R977" s="96"/>
      <c r="S977" s="96"/>
      <c r="T977" s="96"/>
      <c r="U977" s="96"/>
      <c r="V977" s="96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1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96"/>
      <c r="P978" s="96"/>
      <c r="Q978" s="96"/>
      <c r="R978" s="96"/>
      <c r="S978" s="96"/>
      <c r="T978" s="96"/>
      <c r="U978" s="96"/>
      <c r="V978" s="96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1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96"/>
      <c r="P979" s="96"/>
      <c r="Q979" s="96"/>
      <c r="R979" s="96"/>
      <c r="S979" s="96"/>
      <c r="T979" s="96"/>
      <c r="U979" s="96"/>
      <c r="V979" s="96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1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96"/>
      <c r="P980" s="96"/>
      <c r="Q980" s="96"/>
      <c r="R980" s="96"/>
      <c r="S980" s="96"/>
      <c r="T980" s="96"/>
      <c r="U980" s="96"/>
      <c r="V980" s="96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1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96"/>
      <c r="P981" s="96"/>
      <c r="Q981" s="96"/>
      <c r="R981" s="96"/>
      <c r="S981" s="96"/>
      <c r="T981" s="96"/>
      <c r="U981" s="96"/>
      <c r="V981" s="96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1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96"/>
      <c r="P982" s="96"/>
      <c r="Q982" s="96"/>
      <c r="R982" s="96"/>
      <c r="S982" s="96"/>
      <c r="T982" s="96"/>
      <c r="U982" s="96"/>
      <c r="V982" s="96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1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96"/>
      <c r="P983" s="96"/>
      <c r="Q983" s="96"/>
      <c r="R983" s="96"/>
      <c r="S983" s="96"/>
      <c r="T983" s="96"/>
      <c r="U983" s="96"/>
      <c r="V983" s="96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1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96"/>
      <c r="P984" s="96"/>
      <c r="Q984" s="96"/>
      <c r="R984" s="96"/>
      <c r="S984" s="96"/>
      <c r="T984" s="96"/>
      <c r="U984" s="96"/>
      <c r="V984" s="96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1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96"/>
      <c r="P985" s="96"/>
      <c r="Q985" s="96"/>
      <c r="R985" s="96"/>
      <c r="S985" s="96"/>
      <c r="T985" s="96"/>
      <c r="U985" s="96"/>
      <c r="V985" s="96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1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96"/>
      <c r="P986" s="96"/>
      <c r="Q986" s="96"/>
      <c r="R986" s="96"/>
      <c r="S986" s="96"/>
      <c r="T986" s="96"/>
      <c r="U986" s="96"/>
      <c r="V986" s="96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1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96"/>
      <c r="P987" s="96"/>
      <c r="Q987" s="96"/>
      <c r="R987" s="96"/>
      <c r="S987" s="96"/>
      <c r="T987" s="96"/>
      <c r="U987" s="96"/>
      <c r="V987" s="96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1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96"/>
      <c r="P988" s="96"/>
      <c r="Q988" s="96"/>
      <c r="R988" s="96"/>
      <c r="S988" s="96"/>
      <c r="T988" s="96"/>
      <c r="U988" s="96"/>
      <c r="V988" s="96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1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96"/>
      <c r="P989" s="96"/>
      <c r="Q989" s="96"/>
      <c r="R989" s="96"/>
      <c r="S989" s="96"/>
      <c r="T989" s="96"/>
      <c r="U989" s="96"/>
      <c r="V989" s="96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1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96"/>
      <c r="P990" s="96"/>
      <c r="Q990" s="96"/>
      <c r="R990" s="96"/>
      <c r="S990" s="96"/>
      <c r="T990" s="96"/>
      <c r="U990" s="96"/>
      <c r="V990" s="96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1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96"/>
      <c r="P991" s="96"/>
      <c r="Q991" s="96"/>
      <c r="R991" s="96"/>
      <c r="S991" s="96"/>
      <c r="T991" s="96"/>
      <c r="U991" s="96"/>
      <c r="V991" s="96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1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96"/>
      <c r="P992" s="96"/>
      <c r="Q992" s="96"/>
      <c r="R992" s="96"/>
      <c r="S992" s="96"/>
      <c r="T992" s="96"/>
      <c r="U992" s="96"/>
      <c r="V992" s="96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1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96"/>
      <c r="P993" s="96"/>
      <c r="Q993" s="96"/>
      <c r="R993" s="96"/>
      <c r="S993" s="96"/>
      <c r="T993" s="96"/>
      <c r="U993" s="96"/>
      <c r="V993" s="96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1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96"/>
      <c r="P994" s="96"/>
      <c r="Q994" s="96"/>
      <c r="R994" s="96"/>
      <c r="S994" s="96"/>
      <c r="T994" s="96"/>
      <c r="U994" s="96"/>
      <c r="V994" s="96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96"/>
      <c r="P995" s="96"/>
      <c r="Q995" s="96"/>
      <c r="R995" s="96"/>
      <c r="S995" s="96"/>
      <c r="T995" s="96"/>
      <c r="U995" s="96"/>
      <c r="V995" s="96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1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96"/>
      <c r="P996" s="96"/>
      <c r="Q996" s="96"/>
      <c r="R996" s="96"/>
      <c r="S996" s="96"/>
      <c r="T996" s="96"/>
      <c r="U996" s="96"/>
      <c r="V996" s="96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1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96"/>
      <c r="P997" s="96"/>
      <c r="Q997" s="96"/>
      <c r="R997" s="96"/>
      <c r="S997" s="96"/>
      <c r="T997" s="96"/>
      <c r="U997" s="96"/>
      <c r="V997" s="96"/>
      <c r="W997" s="7"/>
      <c r="X997" s="7"/>
      <c r="Y997" s="7"/>
      <c r="Z997" s="7"/>
      <c r="AA997" s="7"/>
      <c r="AB997" s="7"/>
      <c r="AC997" s="7"/>
      <c r="AD997" s="7"/>
      <c r="AE997" s="7"/>
    </row>
  </sheetData>
  <mergeCells count="110">
    <mergeCell ref="B8:D8"/>
    <mergeCell ref="B9:D9"/>
    <mergeCell ref="E9:F9"/>
    <mergeCell ref="J9:K9"/>
    <mergeCell ref="L9:M9"/>
    <mergeCell ref="B10:D10"/>
    <mergeCell ref="E10:F10"/>
    <mergeCell ref="B11:D11"/>
    <mergeCell ref="E11:F11"/>
    <mergeCell ref="J11:M11"/>
    <mergeCell ref="B12:D12"/>
    <mergeCell ref="E12:F12"/>
    <mergeCell ref="H12:I12"/>
    <mergeCell ref="J12:M12"/>
    <mergeCell ref="P15:U15"/>
    <mergeCell ref="P16:U16"/>
    <mergeCell ref="P11:U11"/>
    <mergeCell ref="P12:U12"/>
    <mergeCell ref="P13:U13"/>
    <mergeCell ref="B14:M14"/>
    <mergeCell ref="P14:U14"/>
    <mergeCell ref="C15:M15"/>
    <mergeCell ref="C16:M16"/>
    <mergeCell ref="P20:U20"/>
    <mergeCell ref="P21:U21"/>
    <mergeCell ref="C17:M17"/>
    <mergeCell ref="P17:U17"/>
    <mergeCell ref="P18:U18"/>
    <mergeCell ref="B19:M19"/>
    <mergeCell ref="P19:U19"/>
    <mergeCell ref="C20:M20"/>
    <mergeCell ref="C21:M21"/>
    <mergeCell ref="P28:U28"/>
    <mergeCell ref="P29:U29"/>
    <mergeCell ref="P30:U30"/>
    <mergeCell ref="P31:U31"/>
    <mergeCell ref="P32:U32"/>
    <mergeCell ref="P33:U33"/>
    <mergeCell ref="P34:U34"/>
    <mergeCell ref="P35:U35"/>
    <mergeCell ref="P36:U36"/>
    <mergeCell ref="P37:U37"/>
    <mergeCell ref="P38:U38"/>
    <mergeCell ref="P39:U39"/>
    <mergeCell ref="P40:U40"/>
    <mergeCell ref="P41:U41"/>
    <mergeCell ref="P42:U42"/>
    <mergeCell ref="P43:U43"/>
    <mergeCell ref="P44:U44"/>
    <mergeCell ref="P45:U45"/>
    <mergeCell ref="P46:U46"/>
    <mergeCell ref="P47:U47"/>
    <mergeCell ref="P48:U48"/>
    <mergeCell ref="P56:U56"/>
    <mergeCell ref="P57:U57"/>
    <mergeCell ref="P58:U58"/>
    <mergeCell ref="P59:U59"/>
    <mergeCell ref="P60:U60"/>
    <mergeCell ref="P61:U61"/>
    <mergeCell ref="P62:U62"/>
    <mergeCell ref="P49:U49"/>
    <mergeCell ref="P50:U50"/>
    <mergeCell ref="P51:U51"/>
    <mergeCell ref="P52:U52"/>
    <mergeCell ref="P53:U53"/>
    <mergeCell ref="P54:U54"/>
    <mergeCell ref="P55:U55"/>
    <mergeCell ref="G1:N4"/>
    <mergeCell ref="B2:D2"/>
    <mergeCell ref="E2:F2"/>
    <mergeCell ref="O2:U2"/>
    <mergeCell ref="B3:D3"/>
    <mergeCell ref="E3:F3"/>
    <mergeCell ref="P3:U3"/>
    <mergeCell ref="P4:U4"/>
    <mergeCell ref="J6:K6"/>
    <mergeCell ref="L6:M6"/>
    <mergeCell ref="J7:K7"/>
    <mergeCell ref="L7:M7"/>
    <mergeCell ref="P7:U7"/>
    <mergeCell ref="P8:U8"/>
    <mergeCell ref="P9:U9"/>
    <mergeCell ref="B4:D4"/>
    <mergeCell ref="E4:F4"/>
    <mergeCell ref="B5:D5"/>
    <mergeCell ref="E5:F5"/>
    <mergeCell ref="H5:M5"/>
    <mergeCell ref="P5:U5"/>
    <mergeCell ref="B6:D6"/>
    <mergeCell ref="P6:U6"/>
    <mergeCell ref="E6:F6"/>
    <mergeCell ref="H6:I6"/>
    <mergeCell ref="H7:I7"/>
    <mergeCell ref="E8:F8"/>
    <mergeCell ref="H8:I8"/>
    <mergeCell ref="J8:K8"/>
    <mergeCell ref="L8:M8"/>
    <mergeCell ref="H9:I9"/>
    <mergeCell ref="H10:I10"/>
    <mergeCell ref="H11:I11"/>
    <mergeCell ref="J10:K10"/>
    <mergeCell ref="L10:M10"/>
    <mergeCell ref="P10:U10"/>
    <mergeCell ref="C22:M22"/>
    <mergeCell ref="P22:U22"/>
    <mergeCell ref="P23:U23"/>
    <mergeCell ref="P24:U24"/>
    <mergeCell ref="P25:U25"/>
    <mergeCell ref="P26:U26"/>
    <mergeCell ref="P27:U27"/>
  </mergeCells>
  <dataValidations>
    <dataValidation type="custom" allowBlank="1" showDropDown="1" sqref="E8 E11 O3:O62">
      <formula1>OR(NOT(ISERROR(DATEVALUE(E3))), AND(ISNUMBER(E3), LEFT(CELL("format", E3))="D"))</formula1>
    </dataValidation>
    <dataValidation type="list" allowBlank="1" sqref="E10">
      <formula1>"Weight Loss,Weight Gain,Maintenance,Competition Prep,Photoshoot Prep,Off-Season,Health"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4" max="4" width="12.63"/>
    <col customWidth="1" min="5" max="5" width="3.5"/>
    <col customWidth="1" min="6" max="6" width="5.13"/>
    <col customWidth="1" min="7" max="7" width="25.13"/>
    <col customWidth="1" min="8" max="8" width="3.5"/>
    <col customWidth="1" min="9" max="9" width="10.13"/>
    <col customWidth="1" min="10" max="12" width="7.63"/>
    <col customWidth="1" min="13" max="13" width="3.5"/>
    <col customWidth="1" min="15" max="15" width="12.63"/>
    <col customWidth="1" min="17" max="23" width="12.63"/>
    <col hidden="1" min="24" max="26" width="12.63"/>
  </cols>
  <sheetData>
    <row r="1" ht="22.5" customHeight="1">
      <c r="A1" s="97"/>
      <c r="B1" s="97"/>
      <c r="C1" s="97"/>
      <c r="D1" s="98"/>
      <c r="E1" s="99" t="s">
        <v>0</v>
      </c>
      <c r="F1" s="5"/>
      <c r="G1" s="5"/>
      <c r="H1" s="5"/>
      <c r="I1" s="5"/>
      <c r="J1" s="5"/>
      <c r="K1" s="5"/>
      <c r="L1" s="6"/>
      <c r="M1" s="98"/>
      <c r="N1" s="98"/>
      <c r="O1" s="98"/>
      <c r="P1" s="98"/>
      <c r="Q1" s="97"/>
      <c r="R1" s="97"/>
      <c r="S1" s="97"/>
      <c r="T1" s="97"/>
      <c r="U1" s="97"/>
      <c r="V1" s="97"/>
      <c r="W1" s="97"/>
      <c r="X1" s="100">
        <v>1.0</v>
      </c>
      <c r="Y1" s="101" t="s">
        <v>28</v>
      </c>
      <c r="Z1" s="101" t="s">
        <v>28</v>
      </c>
    </row>
    <row r="2" ht="22.5" customHeight="1">
      <c r="A2" s="97"/>
      <c r="B2" s="102"/>
      <c r="C2" s="102"/>
      <c r="D2" s="103"/>
      <c r="E2" s="13"/>
      <c r="L2" s="14"/>
      <c r="M2" s="98"/>
      <c r="N2" s="98"/>
      <c r="O2" s="98"/>
      <c r="P2" s="98"/>
      <c r="Q2" s="97"/>
      <c r="R2" s="97"/>
      <c r="S2" s="97"/>
      <c r="T2" s="97"/>
      <c r="U2" s="97"/>
      <c r="V2" s="97"/>
      <c r="W2" s="97"/>
      <c r="X2" s="100">
        <v>2.0</v>
      </c>
      <c r="Y2" s="101" t="s">
        <v>28</v>
      </c>
      <c r="Z2" s="101" t="s">
        <v>28</v>
      </c>
    </row>
    <row r="3" ht="22.5" customHeight="1">
      <c r="A3" s="104"/>
      <c r="B3" s="105" t="s">
        <v>2</v>
      </c>
      <c r="C3" s="106" t="str">
        <f>'Client Dashboard'!E2</f>
        <v>Becky Marlow</v>
      </c>
      <c r="D3" s="11"/>
      <c r="E3" s="13"/>
      <c r="L3" s="14"/>
      <c r="M3" s="98"/>
      <c r="N3" s="98"/>
      <c r="O3" s="98"/>
      <c r="P3" s="98"/>
      <c r="Q3" s="97"/>
      <c r="R3" s="97"/>
      <c r="S3" s="97"/>
      <c r="T3" s="97"/>
      <c r="U3" s="97"/>
      <c r="V3" s="97"/>
      <c r="W3" s="97"/>
      <c r="X3" s="100">
        <v>3.0</v>
      </c>
      <c r="Y3" s="101" t="s">
        <v>28</v>
      </c>
      <c r="Z3" s="101" t="s">
        <v>28</v>
      </c>
    </row>
    <row r="4" ht="22.5" customHeight="1">
      <c r="A4" s="104"/>
      <c r="B4" s="105" t="s">
        <v>29</v>
      </c>
      <c r="C4" s="107">
        <f>IF(ISBLANK(C9),"",ROUNDUP((TODAY()-C9)/7,0))</f>
        <v>37</v>
      </c>
      <c r="D4" s="108" t="s">
        <v>28</v>
      </c>
      <c r="E4" s="13"/>
      <c r="L4" s="14"/>
      <c r="M4" s="98"/>
      <c r="N4" s="98"/>
      <c r="O4" s="98"/>
      <c r="P4" s="98"/>
      <c r="Q4" s="97"/>
      <c r="R4" s="97"/>
      <c r="S4" s="97"/>
      <c r="T4" s="97"/>
      <c r="U4" s="97"/>
      <c r="V4" s="97"/>
      <c r="W4" s="97"/>
      <c r="X4" s="100">
        <v>4.0</v>
      </c>
      <c r="Y4" s="101" t="s">
        <v>28</v>
      </c>
      <c r="Z4" s="101" t="s">
        <v>28</v>
      </c>
    </row>
    <row r="5" ht="22.5" customHeight="1">
      <c r="A5" s="97"/>
      <c r="B5" s="109"/>
      <c r="C5" s="109"/>
      <c r="D5" s="110"/>
      <c r="E5" s="13"/>
      <c r="L5" s="14"/>
      <c r="M5" s="98"/>
      <c r="N5" s="98"/>
      <c r="O5" s="98"/>
      <c r="P5" s="98"/>
      <c r="Q5" s="97"/>
      <c r="R5" s="97"/>
      <c r="S5" s="97"/>
      <c r="T5" s="97"/>
      <c r="U5" s="97"/>
      <c r="V5" s="97"/>
      <c r="W5" s="97"/>
      <c r="X5" s="100">
        <v>5.0</v>
      </c>
      <c r="Y5" s="101" t="s">
        <v>28</v>
      </c>
      <c r="Z5" s="101" t="s">
        <v>28</v>
      </c>
    </row>
    <row r="6" ht="22.5" customHeight="1">
      <c r="A6" s="97"/>
      <c r="B6" s="102"/>
      <c r="C6" s="102"/>
      <c r="D6" s="111"/>
      <c r="E6" s="21"/>
      <c r="F6" s="22"/>
      <c r="G6" s="22"/>
      <c r="H6" s="22"/>
      <c r="I6" s="22"/>
      <c r="J6" s="22"/>
      <c r="K6" s="22"/>
      <c r="L6" s="23"/>
      <c r="M6" s="111"/>
      <c r="N6" s="111"/>
      <c r="O6" s="111"/>
      <c r="P6" s="111"/>
      <c r="Q6" s="97"/>
      <c r="R6" s="97"/>
      <c r="S6" s="97"/>
      <c r="T6" s="97"/>
      <c r="U6" s="97"/>
      <c r="V6" s="97"/>
      <c r="W6" s="97"/>
      <c r="X6" s="100">
        <v>6.0</v>
      </c>
      <c r="Y6" s="101" t="s">
        <v>28</v>
      </c>
      <c r="Z6" s="101" t="s">
        <v>28</v>
      </c>
    </row>
    <row r="7">
      <c r="A7" s="104"/>
      <c r="B7" s="112" t="s">
        <v>30</v>
      </c>
      <c r="C7" s="112" t="s">
        <v>31</v>
      </c>
      <c r="D7" s="113" t="s">
        <v>32</v>
      </c>
      <c r="E7" s="114" t="s">
        <v>33</v>
      </c>
      <c r="F7" s="115" t="s">
        <v>34</v>
      </c>
      <c r="G7" s="11"/>
      <c r="H7" s="114" t="s">
        <v>35</v>
      </c>
      <c r="I7" s="113" t="s">
        <v>36</v>
      </c>
      <c r="J7" s="113" t="s">
        <v>37</v>
      </c>
      <c r="K7" s="113" t="s">
        <v>38</v>
      </c>
      <c r="L7" s="113" t="s">
        <v>39</v>
      </c>
      <c r="M7" s="114" t="s">
        <v>40</v>
      </c>
      <c r="N7" s="113" t="s">
        <v>25</v>
      </c>
      <c r="O7" s="116" t="s">
        <v>41</v>
      </c>
      <c r="P7" s="113" t="s">
        <v>42</v>
      </c>
      <c r="Q7" s="117"/>
      <c r="R7" s="117"/>
      <c r="S7" s="117"/>
      <c r="T7" s="117"/>
      <c r="U7" s="117"/>
      <c r="V7" s="117"/>
      <c r="W7" s="117"/>
      <c r="X7" s="100">
        <v>7.0</v>
      </c>
      <c r="Y7" s="101" t="s">
        <v>28</v>
      </c>
      <c r="Z7" s="101" t="s">
        <v>28</v>
      </c>
    </row>
    <row r="8">
      <c r="A8" s="104"/>
      <c r="B8" s="118">
        <v>1.0</v>
      </c>
      <c r="C8" s="119" t="s">
        <v>43</v>
      </c>
      <c r="D8" s="120" t="s">
        <v>44</v>
      </c>
      <c r="E8" s="121"/>
      <c r="F8" s="122" t="s">
        <v>45</v>
      </c>
      <c r="G8" s="11"/>
      <c r="H8" s="121"/>
      <c r="I8" s="123" t="s">
        <v>46</v>
      </c>
      <c r="J8" s="10"/>
      <c r="K8" s="10"/>
      <c r="L8" s="11"/>
      <c r="M8" s="121"/>
      <c r="N8" s="119"/>
      <c r="O8" s="119"/>
      <c r="P8" s="120"/>
      <c r="Q8" s="124"/>
      <c r="R8" s="124"/>
      <c r="S8" s="124"/>
      <c r="T8" s="124"/>
      <c r="U8" s="124"/>
      <c r="V8" s="124"/>
      <c r="W8" s="124"/>
      <c r="X8" s="100">
        <v>8.0</v>
      </c>
      <c r="Y8" s="101" t="s">
        <v>28</v>
      </c>
      <c r="Z8" s="101" t="s">
        <v>28</v>
      </c>
    </row>
    <row r="9">
      <c r="A9" s="125"/>
      <c r="B9" s="121"/>
      <c r="C9" s="126">
        <v>45698.0</v>
      </c>
      <c r="D9" s="127"/>
      <c r="E9" s="121"/>
      <c r="F9" s="127"/>
      <c r="G9" s="128"/>
      <c r="H9" s="121"/>
      <c r="I9" s="127">
        <f t="shared" ref="I9:I10" si="1">J9*4+K9*4+L9*9</f>
        <v>0</v>
      </c>
      <c r="J9" s="127"/>
      <c r="K9" s="127"/>
      <c r="L9" s="127"/>
      <c r="M9" s="121"/>
      <c r="N9" s="128"/>
      <c r="O9" s="127"/>
      <c r="P9" s="127"/>
      <c r="Q9" s="129"/>
      <c r="R9" s="129"/>
      <c r="S9" s="129"/>
      <c r="T9" s="129"/>
      <c r="U9" s="129"/>
      <c r="V9" s="129"/>
      <c r="W9" s="129"/>
      <c r="X9" s="130">
        <v>9.0</v>
      </c>
      <c r="Y9" s="131" t="s">
        <v>28</v>
      </c>
      <c r="Z9" s="131" t="s">
        <v>28</v>
      </c>
    </row>
    <row r="10">
      <c r="A10" s="125"/>
      <c r="B10" s="121"/>
      <c r="C10" s="132">
        <f t="shared" ref="C10:C15" si="2">IF(ISBLANK($C$9),"",C9+1)</f>
        <v>45699</v>
      </c>
      <c r="D10" s="133"/>
      <c r="E10" s="121"/>
      <c r="F10" s="134" t="str">
        <f t="shared" ref="F10:F15" si="3">IF(ISNUMBER(F9),F9+1,"")</f>
        <v/>
      </c>
      <c r="G10" s="134"/>
      <c r="H10" s="121"/>
      <c r="I10" s="133">
        <f t="shared" si="1"/>
        <v>0</v>
      </c>
      <c r="J10" s="133"/>
      <c r="K10" s="133"/>
      <c r="L10" s="133"/>
      <c r="M10" s="121"/>
      <c r="N10" s="134"/>
      <c r="O10" s="133"/>
      <c r="P10" s="133"/>
      <c r="Q10" s="129"/>
      <c r="R10" s="129"/>
      <c r="S10" s="129"/>
      <c r="T10" s="129"/>
      <c r="U10" s="129"/>
      <c r="V10" s="129"/>
      <c r="W10" s="129"/>
      <c r="X10" s="130">
        <v>10.0</v>
      </c>
      <c r="Y10" s="131" t="s">
        <v>28</v>
      </c>
      <c r="Z10" s="131" t="s">
        <v>28</v>
      </c>
    </row>
    <row r="11">
      <c r="A11" s="125"/>
      <c r="B11" s="121"/>
      <c r="C11" s="132">
        <f t="shared" si="2"/>
        <v>45700</v>
      </c>
      <c r="D11" s="133"/>
      <c r="E11" s="121"/>
      <c r="F11" s="134" t="str">
        <f t="shared" si="3"/>
        <v/>
      </c>
      <c r="G11" s="134"/>
      <c r="H11" s="121"/>
      <c r="I11" s="133">
        <v>1405.0</v>
      </c>
      <c r="J11" s="133">
        <v>111.0</v>
      </c>
      <c r="K11" s="133"/>
      <c r="L11" s="133"/>
      <c r="M11" s="121"/>
      <c r="N11" s="133">
        <v>8000.0</v>
      </c>
      <c r="O11" s="133"/>
      <c r="P11" s="133"/>
      <c r="Q11" s="129"/>
      <c r="R11" s="129"/>
      <c r="S11" s="129"/>
      <c r="T11" s="129"/>
      <c r="U11" s="129"/>
      <c r="V11" s="129"/>
      <c r="W11" s="129"/>
      <c r="X11" s="130">
        <v>11.0</v>
      </c>
      <c r="Y11" s="131" t="s">
        <v>28</v>
      </c>
      <c r="Z11" s="131" t="s">
        <v>28</v>
      </c>
    </row>
    <row r="12">
      <c r="A12" s="125"/>
      <c r="B12" s="121"/>
      <c r="C12" s="132">
        <f t="shared" si="2"/>
        <v>45701</v>
      </c>
      <c r="D12" s="133"/>
      <c r="E12" s="121"/>
      <c r="F12" s="134" t="str">
        <f t="shared" si="3"/>
        <v/>
      </c>
      <c r="G12" s="134"/>
      <c r="H12" s="121"/>
      <c r="I12" s="133">
        <v>1305.0</v>
      </c>
      <c r="J12" s="133">
        <v>110.0</v>
      </c>
      <c r="K12" s="134"/>
      <c r="L12" s="134"/>
      <c r="M12" s="121"/>
      <c r="N12" s="133">
        <v>7863.0</v>
      </c>
      <c r="O12" s="133">
        <v>20.0</v>
      </c>
      <c r="P12" s="133" t="s">
        <v>47</v>
      </c>
      <c r="Q12" s="129"/>
      <c r="R12" s="129"/>
      <c r="S12" s="129"/>
      <c r="T12" s="129"/>
      <c r="U12" s="129"/>
      <c r="V12" s="129"/>
      <c r="W12" s="129"/>
      <c r="X12" s="130">
        <v>12.0</v>
      </c>
      <c r="Y12" s="131" t="s">
        <v>28</v>
      </c>
      <c r="Z12" s="131" t="s">
        <v>28</v>
      </c>
    </row>
    <row r="13">
      <c r="A13" s="125"/>
      <c r="B13" s="121"/>
      <c r="C13" s="132">
        <f t="shared" si="2"/>
        <v>45702</v>
      </c>
      <c r="D13" s="133"/>
      <c r="E13" s="121"/>
      <c r="F13" s="134" t="str">
        <f t="shared" si="3"/>
        <v/>
      </c>
      <c r="G13" s="134"/>
      <c r="H13" s="121"/>
      <c r="I13" s="133">
        <v>1447.0</v>
      </c>
      <c r="J13" s="133">
        <v>100.0</v>
      </c>
      <c r="K13" s="134"/>
      <c r="L13" s="134"/>
      <c r="M13" s="121"/>
      <c r="N13" s="133">
        <v>8560.0</v>
      </c>
      <c r="O13" s="133">
        <v>20.0</v>
      </c>
      <c r="P13" s="133" t="s">
        <v>48</v>
      </c>
      <c r="Q13" s="129"/>
      <c r="R13" s="129"/>
      <c r="S13" s="129"/>
      <c r="T13" s="129"/>
      <c r="U13" s="129"/>
      <c r="V13" s="129"/>
      <c r="W13" s="129"/>
      <c r="X13" s="130">
        <v>13.0</v>
      </c>
      <c r="Y13" s="131" t="s">
        <v>28</v>
      </c>
      <c r="Z13" s="131" t="s">
        <v>28</v>
      </c>
    </row>
    <row r="14">
      <c r="A14" s="125"/>
      <c r="B14" s="121"/>
      <c r="C14" s="132">
        <f t="shared" si="2"/>
        <v>45703</v>
      </c>
      <c r="D14" s="133"/>
      <c r="E14" s="121"/>
      <c r="F14" s="134" t="str">
        <f t="shared" si="3"/>
        <v/>
      </c>
      <c r="G14" s="133">
        <v>1.0</v>
      </c>
      <c r="H14" s="121"/>
      <c r="I14" s="133">
        <v>1496.0</v>
      </c>
      <c r="J14" s="133">
        <v>116.0</v>
      </c>
      <c r="K14" s="134"/>
      <c r="L14" s="134"/>
      <c r="M14" s="121"/>
      <c r="N14" s="133">
        <v>7897.0</v>
      </c>
      <c r="O14" s="133"/>
      <c r="P14" s="133" t="s">
        <v>49</v>
      </c>
      <c r="Q14" s="129"/>
      <c r="R14" s="129"/>
      <c r="S14" s="129"/>
      <c r="T14" s="129"/>
      <c r="U14" s="129"/>
      <c r="V14" s="129"/>
      <c r="W14" s="129"/>
      <c r="X14" s="130">
        <v>14.0</v>
      </c>
      <c r="Y14" s="131" t="s">
        <v>28</v>
      </c>
      <c r="Z14" s="131" t="s">
        <v>28</v>
      </c>
    </row>
    <row r="15">
      <c r="A15" s="125"/>
      <c r="B15" s="121"/>
      <c r="C15" s="135">
        <f t="shared" si="2"/>
        <v>45704</v>
      </c>
      <c r="D15" s="136">
        <v>65.15</v>
      </c>
      <c r="E15" s="121"/>
      <c r="F15" s="137" t="str">
        <f t="shared" si="3"/>
        <v/>
      </c>
      <c r="G15" s="137"/>
      <c r="H15" s="121"/>
      <c r="I15" s="136">
        <v>1490.0</v>
      </c>
      <c r="J15" s="136">
        <v>115.0</v>
      </c>
      <c r="K15" s="137"/>
      <c r="L15" s="137"/>
      <c r="M15" s="121"/>
      <c r="N15" s="136">
        <v>9206.0</v>
      </c>
      <c r="O15" s="136">
        <v>20.0</v>
      </c>
      <c r="P15" s="136" t="s">
        <v>50</v>
      </c>
      <c r="Q15" s="129"/>
      <c r="R15" s="129"/>
      <c r="S15" s="129"/>
      <c r="T15" s="129"/>
      <c r="U15" s="129"/>
      <c r="V15" s="129"/>
      <c r="W15" s="129"/>
      <c r="X15" s="130">
        <v>15.0</v>
      </c>
      <c r="Y15" s="131" t="s">
        <v>28</v>
      </c>
      <c r="Z15" s="131" t="s">
        <v>28</v>
      </c>
    </row>
    <row r="16">
      <c r="A16" s="125"/>
      <c r="B16" s="138"/>
      <c r="C16" s="112" t="s">
        <v>51</v>
      </c>
      <c r="D16" s="116">
        <f>IFERROR(ROUND(AVERAGE(D9:D15),1),0)</f>
        <v>65.2</v>
      </c>
      <c r="E16" s="138"/>
      <c r="F16" s="115" t="s">
        <v>52</v>
      </c>
      <c r="G16" s="11"/>
      <c r="H16" s="138"/>
      <c r="I16" s="116">
        <f>IFERROR(ROUND(AVERAGEIF(I9:I15,"&lt;&gt;0"),0),0)</f>
        <v>1429</v>
      </c>
      <c r="J16" s="116">
        <f t="shared" ref="J16:L16" si="4">IFERROR(ROUND(AVERAGE(J9:J15),0),0)</f>
        <v>110</v>
      </c>
      <c r="K16" s="116">
        <f t="shared" si="4"/>
        <v>0</v>
      </c>
      <c r="L16" s="116">
        <f t="shared" si="4"/>
        <v>0</v>
      </c>
      <c r="M16" s="138"/>
      <c r="N16" s="116">
        <f>IFERROR(ROUND(AVERAGE(N9:N15),0),0)</f>
        <v>8305</v>
      </c>
      <c r="O16" s="116">
        <f>IFERROR(SUM(O9:O15),0)</f>
        <v>60</v>
      </c>
      <c r="P16" s="116">
        <f>IFERROR(COUNTA(P9:P15),0)</f>
        <v>4</v>
      </c>
      <c r="Q16" s="139"/>
      <c r="R16" s="139"/>
      <c r="S16" s="139"/>
      <c r="T16" s="139"/>
      <c r="U16" s="139"/>
      <c r="V16" s="139"/>
      <c r="W16" s="139"/>
      <c r="X16" s="100">
        <v>16.0</v>
      </c>
      <c r="Y16" s="101" t="s">
        <v>28</v>
      </c>
      <c r="Z16" s="101" t="s">
        <v>28</v>
      </c>
    </row>
    <row r="17">
      <c r="A17" s="97"/>
      <c r="B17" s="109"/>
      <c r="C17" s="109"/>
      <c r="D17" s="110"/>
      <c r="E17" s="140"/>
      <c r="F17" s="140"/>
      <c r="G17" s="140"/>
      <c r="H17" s="140"/>
      <c r="I17" s="140"/>
      <c r="J17" s="140"/>
      <c r="K17" s="140"/>
      <c r="L17" s="140"/>
      <c r="M17" s="140"/>
      <c r="N17" s="110"/>
      <c r="O17" s="110"/>
      <c r="P17" s="110"/>
      <c r="Q17" s="97"/>
      <c r="R17" s="97"/>
      <c r="S17" s="97"/>
      <c r="T17" s="97"/>
      <c r="U17" s="97"/>
      <c r="V17" s="97"/>
      <c r="W17" s="97"/>
      <c r="X17" s="100">
        <v>17.0</v>
      </c>
      <c r="Y17" s="101" t="s">
        <v>28</v>
      </c>
      <c r="Z17" s="101" t="s">
        <v>28</v>
      </c>
    </row>
    <row r="18">
      <c r="A18" s="97"/>
      <c r="B18" s="112" t="s">
        <v>30</v>
      </c>
      <c r="C18" s="112" t="s">
        <v>31</v>
      </c>
      <c r="D18" s="113" t="s">
        <v>53</v>
      </c>
      <c r="E18" s="114" t="s">
        <v>33</v>
      </c>
      <c r="F18" s="115" t="s">
        <v>54</v>
      </c>
      <c r="G18" s="11"/>
      <c r="H18" s="114" t="s">
        <v>35</v>
      </c>
      <c r="I18" s="113" t="s">
        <v>55</v>
      </c>
      <c r="J18" s="113" t="s">
        <v>56</v>
      </c>
      <c r="K18" s="113" t="s">
        <v>57</v>
      </c>
      <c r="L18" s="113" t="s">
        <v>58</v>
      </c>
      <c r="M18" s="114" t="s">
        <v>40</v>
      </c>
      <c r="N18" s="113" t="s">
        <v>25</v>
      </c>
      <c r="O18" s="116" t="s">
        <v>59</v>
      </c>
      <c r="P18" s="113" t="s">
        <v>60</v>
      </c>
      <c r="Q18" s="97"/>
      <c r="R18" s="97"/>
      <c r="S18" s="97"/>
      <c r="T18" s="97"/>
      <c r="U18" s="97"/>
      <c r="V18" s="97"/>
      <c r="W18" s="97"/>
      <c r="X18" s="100">
        <v>18.0</v>
      </c>
      <c r="Y18" s="101" t="s">
        <v>28</v>
      </c>
      <c r="Z18" s="101" t="s">
        <v>28</v>
      </c>
    </row>
    <row r="19">
      <c r="A19" s="104"/>
      <c r="B19" s="118">
        <f>B8+1</f>
        <v>2</v>
      </c>
      <c r="C19" s="119" t="s">
        <v>43</v>
      </c>
      <c r="D19" s="120" t="s">
        <v>44</v>
      </c>
      <c r="E19" s="121"/>
      <c r="F19" s="122" t="s">
        <v>45</v>
      </c>
      <c r="G19" s="11"/>
      <c r="H19" s="121"/>
      <c r="I19" s="123" t="s">
        <v>46</v>
      </c>
      <c r="J19" s="10"/>
      <c r="K19" s="10"/>
      <c r="L19" s="11"/>
      <c r="M19" s="121"/>
      <c r="N19" s="119"/>
      <c r="O19" s="119"/>
      <c r="P19" s="120"/>
      <c r="Q19" s="141"/>
      <c r="R19" s="141"/>
      <c r="S19" s="141"/>
      <c r="T19" s="141"/>
      <c r="U19" s="141"/>
      <c r="V19" s="141"/>
      <c r="W19" s="141"/>
      <c r="X19" s="100">
        <v>19.0</v>
      </c>
      <c r="Y19" s="101" t="s">
        <v>28</v>
      </c>
      <c r="Z19" s="101" t="s">
        <v>28</v>
      </c>
    </row>
    <row r="20">
      <c r="A20" s="104"/>
      <c r="B20" s="121"/>
      <c r="C20" s="126">
        <f>IF(ISBLANK($C$9),"",C15+1)</f>
        <v>45705</v>
      </c>
      <c r="D20" s="127">
        <v>64.85</v>
      </c>
      <c r="E20" s="121"/>
      <c r="F20" s="127" t="str">
        <f>IF(ISNUMBER(F15),F15+1,"")</f>
        <v/>
      </c>
      <c r="G20" s="128"/>
      <c r="H20" s="121"/>
      <c r="I20" s="127">
        <f>J20*4+K20*4+L20*9</f>
        <v>0</v>
      </c>
      <c r="J20" s="127"/>
      <c r="K20" s="127"/>
      <c r="L20" s="127"/>
      <c r="M20" s="121"/>
      <c r="N20" s="128"/>
      <c r="O20" s="127"/>
      <c r="P20" s="127"/>
      <c r="Q20" s="97"/>
      <c r="R20" s="97"/>
      <c r="S20" s="97"/>
      <c r="T20" s="97"/>
      <c r="U20" s="97"/>
      <c r="V20" s="97"/>
      <c r="W20" s="97"/>
      <c r="X20" s="100">
        <v>20.0</v>
      </c>
      <c r="Y20" s="101" t="s">
        <v>28</v>
      </c>
      <c r="Z20" s="101" t="s">
        <v>28</v>
      </c>
    </row>
    <row r="21">
      <c r="A21" s="104"/>
      <c r="B21" s="121"/>
      <c r="C21" s="132">
        <f t="shared" ref="C21:C26" si="5">IF(ISBLANK($C$9),"",C20+1)</f>
        <v>45706</v>
      </c>
      <c r="D21" s="133"/>
      <c r="E21" s="121"/>
      <c r="F21" s="134" t="str">
        <f t="shared" ref="F21:F26" si="6">IF(ISNUMBER(F20),F20+1,"")</f>
        <v/>
      </c>
      <c r="G21" s="134"/>
      <c r="H21" s="121"/>
      <c r="I21" s="133">
        <v>1200.0</v>
      </c>
      <c r="J21" s="133">
        <v>115.0</v>
      </c>
      <c r="K21" s="133"/>
      <c r="L21" s="133"/>
      <c r="M21" s="121"/>
      <c r="N21" s="133">
        <v>8976.0</v>
      </c>
      <c r="O21" s="133">
        <v>20.0</v>
      </c>
      <c r="P21" s="133" t="s">
        <v>48</v>
      </c>
      <c r="Q21" s="97"/>
      <c r="R21" s="97"/>
      <c r="S21" s="97"/>
      <c r="T21" s="97"/>
      <c r="U21" s="97"/>
      <c r="V21" s="97"/>
      <c r="W21" s="97"/>
      <c r="X21" s="100">
        <v>21.0</v>
      </c>
      <c r="Y21" s="101" t="s">
        <v>28</v>
      </c>
      <c r="Z21" s="101" t="s">
        <v>28</v>
      </c>
    </row>
    <row r="22">
      <c r="A22" s="104"/>
      <c r="B22" s="121"/>
      <c r="C22" s="132">
        <f t="shared" si="5"/>
        <v>45707</v>
      </c>
      <c r="D22" s="133">
        <v>64.6</v>
      </c>
      <c r="E22" s="121"/>
      <c r="F22" s="134" t="str">
        <f t="shared" si="6"/>
        <v/>
      </c>
      <c r="G22" s="134"/>
      <c r="H22" s="121"/>
      <c r="I22" s="133">
        <v>1234.0</v>
      </c>
      <c r="J22" s="133">
        <v>106.0</v>
      </c>
      <c r="K22" s="133"/>
      <c r="L22" s="133"/>
      <c r="M22" s="121"/>
      <c r="N22" s="133">
        <v>9650.0</v>
      </c>
      <c r="O22" s="133"/>
      <c r="P22" s="133"/>
      <c r="Q22" s="97"/>
      <c r="R22" s="97"/>
      <c r="S22" s="97"/>
      <c r="T22" s="97"/>
      <c r="U22" s="97"/>
      <c r="V22" s="97"/>
      <c r="W22" s="97"/>
      <c r="X22" s="100">
        <v>22.0</v>
      </c>
      <c r="Y22" s="101" t="s">
        <v>28</v>
      </c>
      <c r="Z22" s="101" t="s">
        <v>28</v>
      </c>
    </row>
    <row r="23">
      <c r="A23" s="104"/>
      <c r="B23" s="121"/>
      <c r="C23" s="132">
        <f t="shared" si="5"/>
        <v>45708</v>
      </c>
      <c r="D23" s="133">
        <v>64.5</v>
      </c>
      <c r="E23" s="121"/>
      <c r="F23" s="134" t="str">
        <f t="shared" si="6"/>
        <v/>
      </c>
      <c r="G23" s="134"/>
      <c r="H23" s="121"/>
      <c r="I23" s="133">
        <v>1200.0</v>
      </c>
      <c r="J23" s="133">
        <v>130.0</v>
      </c>
      <c r="K23" s="134"/>
      <c r="L23" s="134"/>
      <c r="M23" s="121"/>
      <c r="N23" s="133">
        <v>8574.0</v>
      </c>
      <c r="O23" s="133">
        <v>30.0</v>
      </c>
      <c r="P23" s="133" t="s">
        <v>50</v>
      </c>
      <c r="Q23" s="97"/>
      <c r="R23" s="97"/>
      <c r="S23" s="97"/>
      <c r="T23" s="97"/>
      <c r="U23" s="97"/>
      <c r="V23" s="97"/>
      <c r="W23" s="97"/>
      <c r="X23" s="100">
        <v>23.0</v>
      </c>
      <c r="Y23" s="101" t="s">
        <v>28</v>
      </c>
      <c r="Z23" s="101" t="s">
        <v>28</v>
      </c>
    </row>
    <row r="24">
      <c r="A24" s="104"/>
      <c r="B24" s="121"/>
      <c r="C24" s="132">
        <f t="shared" si="5"/>
        <v>45709</v>
      </c>
      <c r="D24" s="133"/>
      <c r="E24" s="121"/>
      <c r="F24" s="134" t="str">
        <f t="shared" si="6"/>
        <v/>
      </c>
      <c r="G24" s="134"/>
      <c r="H24" s="121"/>
      <c r="I24" s="133">
        <v>1275.0</v>
      </c>
      <c r="J24" s="133">
        <v>112.0</v>
      </c>
      <c r="K24" s="134"/>
      <c r="L24" s="134"/>
      <c r="M24" s="121"/>
      <c r="N24" s="133">
        <v>9875.0</v>
      </c>
      <c r="O24" s="133">
        <v>20.0</v>
      </c>
      <c r="P24" s="133" t="s">
        <v>47</v>
      </c>
      <c r="Q24" s="97"/>
      <c r="R24" s="97"/>
      <c r="S24" s="97"/>
      <c r="T24" s="97"/>
      <c r="U24" s="97"/>
      <c r="V24" s="97"/>
      <c r="W24" s="97"/>
      <c r="X24" s="100">
        <v>24.0</v>
      </c>
      <c r="Y24" s="101" t="s">
        <v>28</v>
      </c>
      <c r="Z24" s="101" t="s">
        <v>28</v>
      </c>
    </row>
    <row r="25">
      <c r="A25" s="104"/>
      <c r="B25" s="121"/>
      <c r="C25" s="132">
        <f t="shared" si="5"/>
        <v>45710</v>
      </c>
      <c r="D25" s="133"/>
      <c r="E25" s="121"/>
      <c r="F25" s="134" t="str">
        <f t="shared" si="6"/>
        <v/>
      </c>
      <c r="G25" s="134"/>
      <c r="H25" s="121"/>
      <c r="I25" s="133">
        <v>1303.0</v>
      </c>
      <c r="J25" s="133">
        <v>108.0</v>
      </c>
      <c r="K25" s="134"/>
      <c r="L25" s="134"/>
      <c r="M25" s="121"/>
      <c r="N25" s="133">
        <v>11086.0</v>
      </c>
      <c r="O25" s="133">
        <v>20.0</v>
      </c>
      <c r="P25" s="133" t="s">
        <v>47</v>
      </c>
      <c r="Q25" s="97"/>
      <c r="R25" s="97"/>
      <c r="S25" s="97"/>
      <c r="T25" s="97"/>
      <c r="U25" s="97"/>
      <c r="V25" s="97"/>
      <c r="W25" s="97"/>
      <c r="X25" s="100">
        <v>25.0</v>
      </c>
      <c r="Y25" s="101" t="s">
        <v>28</v>
      </c>
      <c r="Z25" s="101" t="s">
        <v>28</v>
      </c>
    </row>
    <row r="26">
      <c r="A26" s="104"/>
      <c r="B26" s="121"/>
      <c r="C26" s="135">
        <f t="shared" si="5"/>
        <v>45711</v>
      </c>
      <c r="D26" s="136">
        <v>64.5</v>
      </c>
      <c r="E26" s="121"/>
      <c r="F26" s="137" t="str">
        <f t="shared" si="6"/>
        <v/>
      </c>
      <c r="G26" s="137"/>
      <c r="H26" s="121"/>
      <c r="I26" s="136">
        <f>J26*4+K26*4+L26*9</f>
        <v>0</v>
      </c>
      <c r="J26" s="137"/>
      <c r="K26" s="137"/>
      <c r="L26" s="137"/>
      <c r="M26" s="121"/>
      <c r="N26" s="137"/>
      <c r="O26" s="136"/>
      <c r="P26" s="137"/>
      <c r="Q26" s="97"/>
      <c r="R26" s="97"/>
      <c r="S26" s="97"/>
      <c r="T26" s="97"/>
      <c r="U26" s="97"/>
      <c r="V26" s="97"/>
      <c r="W26" s="97"/>
      <c r="X26" s="100">
        <v>26.0</v>
      </c>
      <c r="Y26" s="101" t="s">
        <v>28</v>
      </c>
      <c r="Z26" s="101" t="s">
        <v>28</v>
      </c>
    </row>
    <row r="27">
      <c r="A27" s="104"/>
      <c r="B27" s="138"/>
      <c r="C27" s="112" t="s">
        <v>51</v>
      </c>
      <c r="D27" s="116">
        <f>IFERROR(ROUND(AVERAGE(D20:D26),1),0)</f>
        <v>64.6</v>
      </c>
      <c r="E27" s="138"/>
      <c r="F27" s="115" t="s">
        <v>52</v>
      </c>
      <c r="G27" s="11"/>
      <c r="H27" s="138"/>
      <c r="I27" s="116">
        <f>IFERROR(ROUND(AVERAGEIF(I20:I26,"&lt;&gt;0"),0),0)</f>
        <v>1242</v>
      </c>
      <c r="J27" s="116">
        <f t="shared" ref="J27:L27" si="7">IFERROR(ROUND(AVERAGE(J20:J26),0),0)</f>
        <v>114</v>
      </c>
      <c r="K27" s="116">
        <f t="shared" si="7"/>
        <v>0</v>
      </c>
      <c r="L27" s="116">
        <f t="shared" si="7"/>
        <v>0</v>
      </c>
      <c r="M27" s="138"/>
      <c r="N27" s="116">
        <f>IFERROR(ROUND(AVERAGE(N20:N26),0),0)</f>
        <v>9632</v>
      </c>
      <c r="O27" s="116">
        <f>IFERROR(SUM(O20:O26),0)</f>
        <v>90</v>
      </c>
      <c r="P27" s="116">
        <f>IFERROR(COUNTA(P20:P26),0)</f>
        <v>4</v>
      </c>
      <c r="Q27" s="97"/>
      <c r="R27" s="97"/>
      <c r="S27" s="97"/>
      <c r="T27" s="97"/>
      <c r="U27" s="97"/>
      <c r="V27" s="97"/>
      <c r="W27" s="97"/>
      <c r="X27" s="100">
        <v>27.0</v>
      </c>
      <c r="Y27" s="101" t="s">
        <v>28</v>
      </c>
      <c r="Z27" s="101" t="s">
        <v>28</v>
      </c>
    </row>
    <row r="28">
      <c r="A28" s="97"/>
      <c r="B28" s="109"/>
      <c r="C28" s="97"/>
      <c r="D28" s="98"/>
      <c r="E28" s="140"/>
      <c r="F28" s="140"/>
      <c r="G28" s="140"/>
      <c r="H28" s="140"/>
      <c r="I28" s="140"/>
      <c r="J28" s="140"/>
      <c r="K28" s="140"/>
      <c r="L28" s="140"/>
      <c r="M28" s="140"/>
      <c r="N28" s="98"/>
      <c r="O28" s="98"/>
      <c r="P28" s="98"/>
      <c r="Q28" s="97"/>
      <c r="R28" s="97"/>
      <c r="S28" s="97"/>
      <c r="T28" s="97"/>
      <c r="U28" s="97"/>
      <c r="V28" s="97"/>
      <c r="W28" s="97"/>
      <c r="X28" s="100">
        <v>28.0</v>
      </c>
      <c r="Y28" s="101" t="s">
        <v>28</v>
      </c>
      <c r="Z28" s="101" t="s">
        <v>28</v>
      </c>
    </row>
    <row r="29">
      <c r="A29" s="97"/>
      <c r="B29" s="112" t="s">
        <v>30</v>
      </c>
      <c r="C29" s="112" t="s">
        <v>31</v>
      </c>
      <c r="D29" s="113" t="s">
        <v>61</v>
      </c>
      <c r="E29" s="114" t="s">
        <v>33</v>
      </c>
      <c r="F29" s="115" t="s">
        <v>62</v>
      </c>
      <c r="G29" s="11"/>
      <c r="H29" s="114" t="s">
        <v>35</v>
      </c>
      <c r="I29" s="113" t="s">
        <v>63</v>
      </c>
      <c r="J29" s="113" t="s">
        <v>64</v>
      </c>
      <c r="K29" s="113" t="s">
        <v>65</v>
      </c>
      <c r="L29" s="113" t="s">
        <v>66</v>
      </c>
      <c r="M29" s="114" t="s">
        <v>40</v>
      </c>
      <c r="N29" s="113" t="s">
        <v>25</v>
      </c>
      <c r="O29" s="116" t="s">
        <v>67</v>
      </c>
      <c r="P29" s="113" t="s">
        <v>68</v>
      </c>
      <c r="Q29" s="97"/>
      <c r="R29" s="97"/>
      <c r="S29" s="97"/>
      <c r="T29" s="97"/>
      <c r="U29" s="97"/>
      <c r="V29" s="97"/>
      <c r="W29" s="97"/>
      <c r="X29" s="100">
        <v>29.0</v>
      </c>
      <c r="Y29" s="101" t="s">
        <v>28</v>
      </c>
      <c r="Z29" s="101" t="s">
        <v>28</v>
      </c>
    </row>
    <row r="30">
      <c r="A30" s="104"/>
      <c r="B30" s="118">
        <f>B19+1</f>
        <v>3</v>
      </c>
      <c r="C30" s="119" t="s">
        <v>43</v>
      </c>
      <c r="D30" s="120" t="s">
        <v>44</v>
      </c>
      <c r="E30" s="121"/>
      <c r="F30" s="122" t="s">
        <v>45</v>
      </c>
      <c r="G30" s="11"/>
      <c r="H30" s="121"/>
      <c r="I30" s="123" t="s">
        <v>46</v>
      </c>
      <c r="J30" s="10"/>
      <c r="K30" s="10"/>
      <c r="L30" s="11"/>
      <c r="M30" s="121"/>
      <c r="N30" s="119"/>
      <c r="O30" s="119"/>
      <c r="P30" s="120"/>
      <c r="Q30" s="141"/>
      <c r="R30" s="141"/>
      <c r="S30" s="141"/>
      <c r="T30" s="141"/>
      <c r="U30" s="141"/>
      <c r="V30" s="141"/>
      <c r="W30" s="141"/>
      <c r="X30" s="100">
        <v>30.0</v>
      </c>
      <c r="Y30" s="101" t="s">
        <v>28</v>
      </c>
      <c r="Z30" s="101" t="s">
        <v>28</v>
      </c>
    </row>
    <row r="31">
      <c r="A31" s="104"/>
      <c r="B31" s="121"/>
      <c r="C31" s="126">
        <f>IF(ISBLANK($C$9),"",C26+1)</f>
        <v>45712</v>
      </c>
      <c r="D31" s="127">
        <v>63.5</v>
      </c>
      <c r="E31" s="121"/>
      <c r="F31" s="127" t="str">
        <f>IF(ISNUMBER(F26),F26+1,"")</f>
        <v/>
      </c>
      <c r="G31" s="128"/>
      <c r="H31" s="121"/>
      <c r="I31" s="127">
        <v>1150.0</v>
      </c>
      <c r="J31" s="127">
        <v>115.0</v>
      </c>
      <c r="K31" s="127"/>
      <c r="L31" s="127"/>
      <c r="M31" s="121"/>
      <c r="N31" s="127">
        <v>8057.0</v>
      </c>
      <c r="O31" s="127">
        <v>20.0</v>
      </c>
      <c r="P31" s="127" t="s">
        <v>48</v>
      </c>
      <c r="Q31" s="97"/>
      <c r="R31" s="97"/>
      <c r="S31" s="97"/>
      <c r="T31" s="97"/>
      <c r="U31" s="97"/>
      <c r="V31" s="97"/>
      <c r="W31" s="97"/>
      <c r="X31" s="100">
        <v>31.0</v>
      </c>
      <c r="Y31" s="101" t="s">
        <v>28</v>
      </c>
      <c r="Z31" s="101" t="s">
        <v>28</v>
      </c>
    </row>
    <row r="32">
      <c r="A32" s="104"/>
      <c r="B32" s="121"/>
      <c r="C32" s="132">
        <f t="shared" ref="C32:C37" si="8">IF(ISBLANK($C$9),"",C31+1)</f>
        <v>45713</v>
      </c>
      <c r="D32" s="133"/>
      <c r="E32" s="121"/>
      <c r="F32" s="134" t="str">
        <f t="shared" ref="F32:F37" si="9">IF(ISNUMBER(F31),F31+1,"")</f>
        <v/>
      </c>
      <c r="G32" s="134"/>
      <c r="H32" s="121"/>
      <c r="I32" s="133">
        <v>1013.0</v>
      </c>
      <c r="J32" s="133">
        <v>109.0</v>
      </c>
      <c r="K32" s="133"/>
      <c r="L32" s="133"/>
      <c r="M32" s="121"/>
      <c r="N32" s="134"/>
      <c r="O32" s="133"/>
      <c r="P32" s="133"/>
      <c r="Q32" s="97"/>
      <c r="R32" s="97"/>
      <c r="S32" s="97"/>
      <c r="T32" s="97"/>
      <c r="U32" s="97"/>
      <c r="V32" s="97"/>
      <c r="W32" s="97"/>
      <c r="X32" s="100">
        <v>32.0</v>
      </c>
      <c r="Y32" s="101" t="s">
        <v>28</v>
      </c>
      <c r="Z32" s="101" t="s">
        <v>28</v>
      </c>
    </row>
    <row r="33">
      <c r="A33" s="104"/>
      <c r="B33" s="121"/>
      <c r="C33" s="132">
        <f t="shared" si="8"/>
        <v>45714</v>
      </c>
      <c r="D33" s="133"/>
      <c r="E33" s="121"/>
      <c r="F33" s="134" t="str">
        <f t="shared" si="9"/>
        <v/>
      </c>
      <c r="G33" s="134"/>
      <c r="H33" s="121"/>
      <c r="I33" s="133">
        <v>886.0</v>
      </c>
      <c r="J33" s="133">
        <v>119.0</v>
      </c>
      <c r="K33" s="133"/>
      <c r="L33" s="133"/>
      <c r="M33" s="121"/>
      <c r="N33" s="133">
        <v>9764.0</v>
      </c>
      <c r="O33" s="133">
        <v>20.0</v>
      </c>
      <c r="P33" s="133" t="s">
        <v>48</v>
      </c>
      <c r="Q33" s="97"/>
      <c r="R33" s="97"/>
      <c r="S33" s="97"/>
      <c r="T33" s="97"/>
      <c r="U33" s="97"/>
      <c r="V33" s="97"/>
      <c r="W33" s="97"/>
      <c r="X33" s="100">
        <v>33.0</v>
      </c>
      <c r="Y33" s="101" t="s">
        <v>28</v>
      </c>
      <c r="Z33" s="101" t="s">
        <v>28</v>
      </c>
    </row>
    <row r="34">
      <c r="A34" s="104"/>
      <c r="B34" s="121"/>
      <c r="C34" s="132">
        <f t="shared" si="8"/>
        <v>45715</v>
      </c>
      <c r="D34" s="133"/>
      <c r="E34" s="121"/>
      <c r="F34" s="134" t="str">
        <f t="shared" si="9"/>
        <v/>
      </c>
      <c r="G34" s="134"/>
      <c r="H34" s="121"/>
      <c r="I34" s="133">
        <v>996.0</v>
      </c>
      <c r="J34" s="133">
        <v>119.0</v>
      </c>
      <c r="K34" s="134"/>
      <c r="L34" s="134"/>
      <c r="M34" s="121"/>
      <c r="N34" s="133">
        <v>8596.0</v>
      </c>
      <c r="O34" s="133">
        <v>20.0</v>
      </c>
      <c r="P34" s="133" t="s">
        <v>50</v>
      </c>
      <c r="Q34" s="97"/>
      <c r="R34" s="97"/>
      <c r="S34" s="97"/>
      <c r="T34" s="97"/>
      <c r="U34" s="97"/>
      <c r="V34" s="97"/>
      <c r="W34" s="97"/>
      <c r="X34" s="100">
        <v>34.0</v>
      </c>
      <c r="Y34" s="101" t="s">
        <v>28</v>
      </c>
      <c r="Z34" s="101" t="s">
        <v>28</v>
      </c>
    </row>
    <row r="35">
      <c r="A35" s="104"/>
      <c r="B35" s="121"/>
      <c r="C35" s="132">
        <f t="shared" si="8"/>
        <v>45716</v>
      </c>
      <c r="D35" s="133"/>
      <c r="E35" s="121"/>
      <c r="F35" s="134" t="str">
        <f t="shared" si="9"/>
        <v/>
      </c>
      <c r="G35" s="134"/>
      <c r="H35" s="121"/>
      <c r="I35" s="133">
        <v>1032.0</v>
      </c>
      <c r="J35" s="133">
        <v>110.0</v>
      </c>
      <c r="K35" s="134"/>
      <c r="L35" s="134"/>
      <c r="M35" s="121"/>
      <c r="N35" s="133">
        <v>8547.0</v>
      </c>
      <c r="O35" s="133">
        <v>20.0</v>
      </c>
      <c r="P35" s="133" t="s">
        <v>48</v>
      </c>
      <c r="Q35" s="97"/>
      <c r="R35" s="97"/>
      <c r="S35" s="97"/>
      <c r="T35" s="97"/>
      <c r="U35" s="97"/>
      <c r="V35" s="97"/>
      <c r="W35" s="97"/>
      <c r="X35" s="100">
        <v>35.0</v>
      </c>
      <c r="Y35" s="101" t="s">
        <v>28</v>
      </c>
      <c r="Z35" s="101" t="s">
        <v>28</v>
      </c>
    </row>
    <row r="36">
      <c r="A36" s="104"/>
      <c r="B36" s="121"/>
      <c r="C36" s="132">
        <f t="shared" si="8"/>
        <v>45717</v>
      </c>
      <c r="D36" s="133"/>
      <c r="E36" s="121"/>
      <c r="F36" s="134" t="str">
        <f t="shared" si="9"/>
        <v/>
      </c>
      <c r="G36" s="134"/>
      <c r="H36" s="121"/>
      <c r="I36" s="133">
        <v>1007.0</v>
      </c>
      <c r="J36" s="133">
        <v>113.0</v>
      </c>
      <c r="K36" s="134"/>
      <c r="L36" s="134"/>
      <c r="M36" s="121"/>
      <c r="N36" s="133">
        <v>11254.0</v>
      </c>
      <c r="O36" s="133"/>
      <c r="P36" s="133"/>
      <c r="Q36" s="97"/>
      <c r="R36" s="97"/>
      <c r="S36" s="97"/>
      <c r="T36" s="97"/>
      <c r="U36" s="97"/>
      <c r="V36" s="97"/>
      <c r="W36" s="97"/>
      <c r="X36" s="100">
        <v>36.0</v>
      </c>
      <c r="Y36" s="101" t="s">
        <v>28</v>
      </c>
      <c r="Z36" s="101" t="s">
        <v>28</v>
      </c>
    </row>
    <row r="37">
      <c r="A37" s="104"/>
      <c r="B37" s="121"/>
      <c r="C37" s="135">
        <f t="shared" si="8"/>
        <v>45718</v>
      </c>
      <c r="D37" s="136"/>
      <c r="E37" s="121"/>
      <c r="F37" s="137" t="str">
        <f t="shared" si="9"/>
        <v/>
      </c>
      <c r="G37" s="137"/>
      <c r="H37" s="121"/>
      <c r="I37" s="136">
        <v>1011.0</v>
      </c>
      <c r="J37" s="136">
        <v>98.0</v>
      </c>
      <c r="K37" s="137"/>
      <c r="L37" s="137"/>
      <c r="M37" s="121"/>
      <c r="N37" s="136">
        <v>9087.0</v>
      </c>
      <c r="O37" s="136"/>
      <c r="P37" s="137"/>
      <c r="Q37" s="97"/>
      <c r="R37" s="97"/>
      <c r="S37" s="97"/>
      <c r="T37" s="97"/>
      <c r="U37" s="97"/>
      <c r="V37" s="97"/>
      <c r="W37" s="97"/>
      <c r="X37" s="100">
        <v>37.0</v>
      </c>
      <c r="Y37" s="101" t="s">
        <v>28</v>
      </c>
      <c r="Z37" s="101" t="s">
        <v>28</v>
      </c>
    </row>
    <row r="38">
      <c r="A38" s="104"/>
      <c r="B38" s="138"/>
      <c r="C38" s="112" t="s">
        <v>51</v>
      </c>
      <c r="D38" s="116">
        <f>IFERROR(ROUND(AVERAGE(D31:D37),1),0)</f>
        <v>63.5</v>
      </c>
      <c r="E38" s="138"/>
      <c r="F38" s="115" t="s">
        <v>52</v>
      </c>
      <c r="G38" s="11"/>
      <c r="H38" s="138"/>
      <c r="I38" s="116">
        <f>IFERROR(ROUND(AVERAGEIF(I31:I37,"&lt;&gt;0"),0),0)</f>
        <v>1014</v>
      </c>
      <c r="J38" s="116">
        <f t="shared" ref="J38:L38" si="10">IFERROR(ROUND(AVERAGE(J31:J37),0),0)</f>
        <v>112</v>
      </c>
      <c r="K38" s="116">
        <f t="shared" si="10"/>
        <v>0</v>
      </c>
      <c r="L38" s="116">
        <f t="shared" si="10"/>
        <v>0</v>
      </c>
      <c r="M38" s="138"/>
      <c r="N38" s="116">
        <f>IFERROR(ROUND(AVERAGE(N31:N37),0),0)</f>
        <v>9218</v>
      </c>
      <c r="O38" s="116">
        <f>IFERROR(SUM(O31:O37),0)</f>
        <v>80</v>
      </c>
      <c r="P38" s="116">
        <f>IFERROR(COUNTA(P31:P37),0)</f>
        <v>4</v>
      </c>
      <c r="Q38" s="97"/>
      <c r="R38" s="97"/>
      <c r="S38" s="97"/>
      <c r="T38" s="97"/>
      <c r="U38" s="97"/>
      <c r="V38" s="97"/>
      <c r="W38" s="97"/>
      <c r="X38" s="100">
        <v>38.0</v>
      </c>
      <c r="Y38" s="101" t="s">
        <v>28</v>
      </c>
      <c r="Z38" s="101" t="s">
        <v>28</v>
      </c>
    </row>
    <row r="39">
      <c r="A39" s="97"/>
      <c r="B39" s="109"/>
      <c r="C39" s="97"/>
      <c r="D39" s="98"/>
      <c r="E39" s="140"/>
      <c r="F39" s="140"/>
      <c r="G39" s="140"/>
      <c r="H39" s="140"/>
      <c r="I39" s="140"/>
      <c r="J39" s="140"/>
      <c r="K39" s="140"/>
      <c r="L39" s="140"/>
      <c r="M39" s="140"/>
      <c r="N39" s="98"/>
      <c r="O39" s="98"/>
      <c r="P39" s="98"/>
      <c r="Q39" s="97"/>
      <c r="R39" s="97"/>
      <c r="S39" s="97"/>
      <c r="T39" s="97"/>
      <c r="U39" s="97"/>
      <c r="V39" s="97"/>
      <c r="W39" s="97"/>
      <c r="X39" s="100">
        <v>39.0</v>
      </c>
      <c r="Y39" s="101" t="s">
        <v>28</v>
      </c>
      <c r="Z39" s="101" t="s">
        <v>28</v>
      </c>
    </row>
    <row r="40">
      <c r="A40" s="97"/>
      <c r="B40" s="112" t="s">
        <v>30</v>
      </c>
      <c r="C40" s="112" t="s">
        <v>31</v>
      </c>
      <c r="D40" s="113" t="s">
        <v>69</v>
      </c>
      <c r="E40" s="114" t="s">
        <v>33</v>
      </c>
      <c r="F40" s="115" t="s">
        <v>70</v>
      </c>
      <c r="G40" s="11"/>
      <c r="H40" s="114" t="s">
        <v>35</v>
      </c>
      <c r="I40" s="113" t="s">
        <v>71</v>
      </c>
      <c r="J40" s="113" t="s">
        <v>72</v>
      </c>
      <c r="K40" s="113" t="s">
        <v>73</v>
      </c>
      <c r="L40" s="113" t="s">
        <v>74</v>
      </c>
      <c r="M40" s="114" t="s">
        <v>40</v>
      </c>
      <c r="N40" s="113" t="s">
        <v>25</v>
      </c>
      <c r="O40" s="116" t="s">
        <v>75</v>
      </c>
      <c r="P40" s="113" t="s">
        <v>76</v>
      </c>
      <c r="Q40" s="97"/>
      <c r="R40" s="97"/>
      <c r="S40" s="97"/>
      <c r="T40" s="97"/>
      <c r="U40" s="97"/>
      <c r="V40" s="97"/>
      <c r="W40" s="97"/>
      <c r="X40" s="100">
        <v>40.0</v>
      </c>
      <c r="Y40" s="101" t="s">
        <v>28</v>
      </c>
      <c r="Z40" s="101" t="s">
        <v>28</v>
      </c>
    </row>
    <row r="41">
      <c r="A41" s="104"/>
      <c r="B41" s="118">
        <f>B30+1</f>
        <v>4</v>
      </c>
      <c r="C41" s="119" t="s">
        <v>43</v>
      </c>
      <c r="D41" s="120" t="s">
        <v>44</v>
      </c>
      <c r="E41" s="121"/>
      <c r="F41" s="122" t="s">
        <v>45</v>
      </c>
      <c r="G41" s="11"/>
      <c r="H41" s="121"/>
      <c r="I41" s="123" t="s">
        <v>46</v>
      </c>
      <c r="J41" s="10"/>
      <c r="K41" s="10"/>
      <c r="L41" s="11"/>
      <c r="M41" s="121"/>
      <c r="N41" s="119"/>
      <c r="O41" s="119"/>
      <c r="P41" s="120"/>
      <c r="Q41" s="141"/>
      <c r="R41" s="141"/>
      <c r="S41" s="141"/>
      <c r="T41" s="141"/>
      <c r="U41" s="141"/>
      <c r="V41" s="141"/>
      <c r="W41" s="141"/>
      <c r="X41" s="100">
        <v>41.0</v>
      </c>
      <c r="Y41" s="101" t="s">
        <v>28</v>
      </c>
      <c r="Z41" s="101" t="s">
        <v>28</v>
      </c>
    </row>
    <row r="42">
      <c r="A42" s="104"/>
      <c r="B42" s="121"/>
      <c r="C42" s="126">
        <f>IF(ISBLANK($C$9),"",C37+1)</f>
        <v>45719</v>
      </c>
      <c r="D42" s="127">
        <v>63.0</v>
      </c>
      <c r="E42" s="121"/>
      <c r="F42" s="127" t="str">
        <f>IF(ISNUMBER(F37),F37+1,"")</f>
        <v/>
      </c>
      <c r="G42" s="128"/>
      <c r="H42" s="121"/>
      <c r="I42" s="127">
        <v>1005.0</v>
      </c>
      <c r="J42" s="127">
        <v>94.0</v>
      </c>
      <c r="K42" s="127"/>
      <c r="L42" s="127"/>
      <c r="M42" s="121"/>
      <c r="N42" s="127">
        <v>9800.0</v>
      </c>
      <c r="O42" s="127">
        <v>60.0</v>
      </c>
      <c r="P42" s="127" t="s">
        <v>48</v>
      </c>
      <c r="Q42" s="97"/>
      <c r="R42" s="97"/>
      <c r="S42" s="97"/>
      <c r="T42" s="97"/>
      <c r="U42" s="97"/>
      <c r="V42" s="97"/>
      <c r="W42" s="97"/>
      <c r="X42" s="100">
        <v>42.0</v>
      </c>
      <c r="Y42" s="101" t="s">
        <v>28</v>
      </c>
      <c r="Z42" s="101" t="s">
        <v>28</v>
      </c>
    </row>
    <row r="43">
      <c r="A43" s="104"/>
      <c r="B43" s="121"/>
      <c r="C43" s="132">
        <f t="shared" ref="C43:C48" si="11">IF(ISBLANK($C$9),"",C42+1)</f>
        <v>45720</v>
      </c>
      <c r="D43" s="133"/>
      <c r="E43" s="121"/>
      <c r="F43" s="134" t="str">
        <f t="shared" ref="F43:F48" si="12">IF(ISNUMBER(F42),F42+1,"")</f>
        <v/>
      </c>
      <c r="G43" s="134"/>
      <c r="H43" s="121"/>
      <c r="I43" s="133">
        <v>1011.0</v>
      </c>
      <c r="J43" s="133">
        <v>125.0</v>
      </c>
      <c r="K43" s="133"/>
      <c r="L43" s="133"/>
      <c r="M43" s="121"/>
      <c r="N43" s="133">
        <v>10124.0</v>
      </c>
      <c r="O43" s="133"/>
      <c r="P43" s="133"/>
      <c r="Q43" s="97"/>
      <c r="R43" s="97"/>
      <c r="S43" s="97"/>
      <c r="T43" s="97"/>
      <c r="U43" s="97"/>
      <c r="V43" s="97"/>
      <c r="W43" s="97"/>
      <c r="X43" s="100">
        <v>43.0</v>
      </c>
      <c r="Y43" s="101" t="s">
        <v>28</v>
      </c>
      <c r="Z43" s="101" t="s">
        <v>28</v>
      </c>
    </row>
    <row r="44">
      <c r="A44" s="104"/>
      <c r="B44" s="121"/>
      <c r="C44" s="132">
        <f t="shared" si="11"/>
        <v>45721</v>
      </c>
      <c r="D44" s="133"/>
      <c r="E44" s="121"/>
      <c r="F44" s="134" t="str">
        <f t="shared" si="12"/>
        <v/>
      </c>
      <c r="G44" s="134"/>
      <c r="H44" s="121"/>
      <c r="I44" s="133">
        <v>1015.0</v>
      </c>
      <c r="J44" s="133">
        <v>107.0</v>
      </c>
      <c r="K44" s="133"/>
      <c r="L44" s="133"/>
      <c r="M44" s="121"/>
      <c r="N44" s="133">
        <v>9872.0</v>
      </c>
      <c r="O44" s="133">
        <v>55.0</v>
      </c>
      <c r="P44" s="133" t="s">
        <v>47</v>
      </c>
      <c r="Q44" s="97"/>
      <c r="R44" s="97"/>
      <c r="S44" s="97"/>
      <c r="T44" s="97"/>
      <c r="U44" s="97"/>
      <c r="V44" s="97"/>
      <c r="W44" s="97"/>
      <c r="X44" s="100">
        <v>44.0</v>
      </c>
      <c r="Y44" s="101" t="s">
        <v>28</v>
      </c>
      <c r="Z44" s="101" t="s">
        <v>28</v>
      </c>
    </row>
    <row r="45">
      <c r="A45" s="104"/>
      <c r="B45" s="121"/>
      <c r="C45" s="132">
        <f t="shared" si="11"/>
        <v>45722</v>
      </c>
      <c r="D45" s="133"/>
      <c r="E45" s="121"/>
      <c r="F45" s="134" t="str">
        <f t="shared" si="12"/>
        <v/>
      </c>
      <c r="G45" s="134"/>
      <c r="H45" s="121"/>
      <c r="I45" s="133">
        <v>1043.0</v>
      </c>
      <c r="J45" s="133">
        <v>112.0</v>
      </c>
      <c r="K45" s="134"/>
      <c r="L45" s="134"/>
      <c r="M45" s="121"/>
      <c r="N45" s="133">
        <v>10113.0</v>
      </c>
      <c r="O45" s="133">
        <v>20.0</v>
      </c>
      <c r="P45" s="133" t="s">
        <v>77</v>
      </c>
      <c r="Q45" s="97"/>
      <c r="R45" s="97"/>
      <c r="S45" s="97"/>
      <c r="T45" s="97"/>
      <c r="U45" s="97"/>
      <c r="V45" s="97"/>
      <c r="W45" s="97"/>
      <c r="X45" s="100">
        <v>45.0</v>
      </c>
      <c r="Y45" s="101" t="s">
        <v>28</v>
      </c>
      <c r="Z45" s="101" t="s">
        <v>28</v>
      </c>
    </row>
    <row r="46">
      <c r="A46" s="104"/>
      <c r="B46" s="121"/>
      <c r="C46" s="132">
        <f t="shared" si="11"/>
        <v>45723</v>
      </c>
      <c r="D46" s="133"/>
      <c r="E46" s="121"/>
      <c r="F46" s="134" t="str">
        <f t="shared" si="12"/>
        <v/>
      </c>
      <c r="G46" s="134"/>
      <c r="H46" s="121"/>
      <c r="I46" s="133">
        <v>1066.0</v>
      </c>
      <c r="J46" s="133">
        <v>109.0</v>
      </c>
      <c r="K46" s="134"/>
      <c r="L46" s="134"/>
      <c r="M46" s="121"/>
      <c r="N46" s="133">
        <v>6045.0</v>
      </c>
      <c r="O46" s="133">
        <v>45.0</v>
      </c>
      <c r="P46" s="133" t="s">
        <v>47</v>
      </c>
      <c r="Q46" s="97"/>
      <c r="R46" s="97"/>
      <c r="S46" s="97"/>
      <c r="T46" s="97"/>
      <c r="U46" s="97"/>
      <c r="V46" s="97"/>
      <c r="W46" s="97"/>
      <c r="X46" s="100">
        <v>46.0</v>
      </c>
      <c r="Y46" s="101" t="s">
        <v>28</v>
      </c>
      <c r="Z46" s="101" t="s">
        <v>28</v>
      </c>
    </row>
    <row r="47">
      <c r="A47" s="104"/>
      <c r="B47" s="121"/>
      <c r="C47" s="132">
        <f t="shared" si="11"/>
        <v>45724</v>
      </c>
      <c r="D47" s="133"/>
      <c r="E47" s="121"/>
      <c r="F47" s="134" t="str">
        <f t="shared" si="12"/>
        <v/>
      </c>
      <c r="G47" s="134"/>
      <c r="H47" s="121"/>
      <c r="I47" s="133">
        <f t="shared" ref="I47:I48" si="13">J47*4+K47*4+L47*9</f>
        <v>0</v>
      </c>
      <c r="J47" s="134"/>
      <c r="K47" s="134"/>
      <c r="L47" s="134"/>
      <c r="M47" s="121"/>
      <c r="N47" s="133">
        <v>10907.0</v>
      </c>
      <c r="O47" s="133"/>
      <c r="P47" s="133"/>
      <c r="Q47" s="97"/>
      <c r="R47" s="97"/>
      <c r="S47" s="97"/>
      <c r="T47" s="97"/>
      <c r="U47" s="97"/>
      <c r="V47" s="97"/>
      <c r="W47" s="97"/>
      <c r="X47" s="100">
        <v>47.0</v>
      </c>
      <c r="Y47" s="101" t="s">
        <v>28</v>
      </c>
      <c r="Z47" s="101" t="s">
        <v>28</v>
      </c>
    </row>
    <row r="48">
      <c r="A48" s="104"/>
      <c r="B48" s="121"/>
      <c r="C48" s="135">
        <f t="shared" si="11"/>
        <v>45725</v>
      </c>
      <c r="D48" s="136"/>
      <c r="E48" s="121"/>
      <c r="F48" s="137" t="str">
        <f t="shared" si="12"/>
        <v/>
      </c>
      <c r="G48" s="137"/>
      <c r="H48" s="121"/>
      <c r="I48" s="136">
        <f t="shared" si="13"/>
        <v>0</v>
      </c>
      <c r="J48" s="137"/>
      <c r="K48" s="137"/>
      <c r="L48" s="137"/>
      <c r="M48" s="121"/>
      <c r="N48" s="137"/>
      <c r="O48" s="136"/>
      <c r="P48" s="137"/>
      <c r="Q48" s="97"/>
      <c r="R48" s="97"/>
      <c r="S48" s="97"/>
      <c r="T48" s="97"/>
      <c r="U48" s="97"/>
      <c r="V48" s="97"/>
      <c r="W48" s="97"/>
      <c r="X48" s="100">
        <v>48.0</v>
      </c>
      <c r="Y48" s="101" t="s">
        <v>28</v>
      </c>
      <c r="Z48" s="101" t="s">
        <v>28</v>
      </c>
    </row>
    <row r="49">
      <c r="A49" s="104"/>
      <c r="B49" s="138"/>
      <c r="C49" s="112" t="s">
        <v>51</v>
      </c>
      <c r="D49" s="116">
        <f>IFERROR(ROUND(AVERAGE(D42:D48),1),0)</f>
        <v>63</v>
      </c>
      <c r="E49" s="138"/>
      <c r="F49" s="115" t="s">
        <v>52</v>
      </c>
      <c r="G49" s="11"/>
      <c r="H49" s="138"/>
      <c r="I49" s="116">
        <f>IFERROR(ROUND(AVERAGEIF(I42:I48,"&lt;&gt;0"),0),0)</f>
        <v>1028</v>
      </c>
      <c r="J49" s="116">
        <f t="shared" ref="J49:L49" si="14">IFERROR(ROUND(AVERAGE(J42:J48),0),0)</f>
        <v>109</v>
      </c>
      <c r="K49" s="116">
        <f t="shared" si="14"/>
        <v>0</v>
      </c>
      <c r="L49" s="116">
        <f t="shared" si="14"/>
        <v>0</v>
      </c>
      <c r="M49" s="138"/>
      <c r="N49" s="116">
        <f>IFERROR(ROUND(AVERAGE(N42:N48),0),0)</f>
        <v>9477</v>
      </c>
      <c r="O49" s="116">
        <f>IFERROR(SUM(O42:O48),0)</f>
        <v>180</v>
      </c>
      <c r="P49" s="116">
        <f>IFERROR(COUNTA(P42:P48),0)</f>
        <v>4</v>
      </c>
      <c r="Q49" s="97"/>
      <c r="R49" s="97"/>
      <c r="S49" s="97"/>
      <c r="T49" s="97"/>
      <c r="U49" s="97"/>
      <c r="V49" s="97"/>
      <c r="W49" s="97"/>
      <c r="X49" s="100">
        <v>49.0</v>
      </c>
      <c r="Y49" s="101" t="s">
        <v>28</v>
      </c>
      <c r="Z49" s="101" t="s">
        <v>28</v>
      </c>
    </row>
    <row r="50">
      <c r="A50" s="97"/>
      <c r="B50" s="109"/>
      <c r="C50" s="97"/>
      <c r="D50" s="98"/>
      <c r="E50" s="140"/>
      <c r="F50" s="140"/>
      <c r="G50" s="140"/>
      <c r="H50" s="140"/>
      <c r="I50" s="140"/>
      <c r="J50" s="140"/>
      <c r="K50" s="140"/>
      <c r="L50" s="140"/>
      <c r="M50" s="140"/>
      <c r="N50" s="98"/>
      <c r="O50" s="98"/>
      <c r="P50" s="98"/>
      <c r="Q50" s="97"/>
      <c r="R50" s="97"/>
      <c r="S50" s="97"/>
      <c r="T50" s="97"/>
      <c r="U50" s="97"/>
      <c r="V50" s="97"/>
      <c r="W50" s="97"/>
      <c r="X50" s="100">
        <v>50.0</v>
      </c>
      <c r="Y50" s="101" t="s">
        <v>28</v>
      </c>
      <c r="Z50" s="101" t="s">
        <v>28</v>
      </c>
    </row>
    <row r="51">
      <c r="A51" s="97"/>
      <c r="B51" s="112" t="s">
        <v>30</v>
      </c>
      <c r="C51" s="112" t="s">
        <v>31</v>
      </c>
      <c r="D51" s="113" t="s">
        <v>78</v>
      </c>
      <c r="E51" s="114" t="s">
        <v>33</v>
      </c>
      <c r="F51" s="115" t="s">
        <v>79</v>
      </c>
      <c r="G51" s="11"/>
      <c r="H51" s="114" t="s">
        <v>35</v>
      </c>
      <c r="I51" s="113" t="s">
        <v>80</v>
      </c>
      <c r="J51" s="113" t="s">
        <v>81</v>
      </c>
      <c r="K51" s="113" t="s">
        <v>82</v>
      </c>
      <c r="L51" s="113" t="s">
        <v>83</v>
      </c>
      <c r="M51" s="114" t="s">
        <v>40</v>
      </c>
      <c r="N51" s="113" t="s">
        <v>25</v>
      </c>
      <c r="O51" s="116" t="s">
        <v>84</v>
      </c>
      <c r="P51" s="113" t="s">
        <v>85</v>
      </c>
      <c r="Q51" s="97"/>
      <c r="R51" s="97"/>
      <c r="S51" s="97"/>
      <c r="T51" s="97"/>
      <c r="U51" s="97"/>
      <c r="V51" s="97"/>
      <c r="W51" s="97"/>
      <c r="X51" s="100">
        <v>51.0</v>
      </c>
      <c r="Y51" s="101" t="s">
        <v>28</v>
      </c>
      <c r="Z51" s="101" t="s">
        <v>28</v>
      </c>
    </row>
    <row r="52">
      <c r="A52" s="104"/>
      <c r="B52" s="118">
        <f>B41+1</f>
        <v>5</v>
      </c>
      <c r="C52" s="119" t="s">
        <v>43</v>
      </c>
      <c r="D52" s="120" t="s">
        <v>44</v>
      </c>
      <c r="E52" s="121"/>
      <c r="F52" s="122" t="s">
        <v>45</v>
      </c>
      <c r="G52" s="11"/>
      <c r="H52" s="121"/>
      <c r="I52" s="123" t="s">
        <v>46</v>
      </c>
      <c r="J52" s="10"/>
      <c r="K52" s="10"/>
      <c r="L52" s="11"/>
      <c r="M52" s="121"/>
      <c r="N52" s="119"/>
      <c r="O52" s="119"/>
      <c r="P52" s="120"/>
      <c r="Q52" s="141"/>
      <c r="R52" s="141"/>
      <c r="S52" s="141"/>
      <c r="T52" s="141"/>
      <c r="U52" s="141"/>
      <c r="V52" s="141"/>
      <c r="W52" s="141"/>
      <c r="X52" s="100">
        <v>52.0</v>
      </c>
      <c r="Y52" s="101" t="s">
        <v>28</v>
      </c>
      <c r="Z52" s="101" t="s">
        <v>28</v>
      </c>
    </row>
    <row r="53">
      <c r="A53" s="104"/>
      <c r="B53" s="121"/>
      <c r="C53" s="126">
        <f>IF(ISBLANK($C$9),"",C48+1)</f>
        <v>45726</v>
      </c>
      <c r="D53" s="127">
        <v>64.0</v>
      </c>
      <c r="E53" s="121"/>
      <c r="F53" s="127" t="str">
        <f>IF(ISNUMBER(F48),F48+1,"")</f>
        <v/>
      </c>
      <c r="G53" s="128"/>
      <c r="H53" s="121"/>
      <c r="I53" s="127">
        <v>1005.0</v>
      </c>
      <c r="J53" s="127">
        <v>97.0</v>
      </c>
      <c r="K53" s="127"/>
      <c r="L53" s="127"/>
      <c r="M53" s="121"/>
      <c r="N53" s="127">
        <v>9864.0</v>
      </c>
      <c r="O53" s="127">
        <v>25.0</v>
      </c>
      <c r="P53" s="127" t="s">
        <v>47</v>
      </c>
      <c r="Q53" s="97"/>
      <c r="R53" s="97"/>
      <c r="S53" s="97"/>
      <c r="T53" s="97"/>
      <c r="U53" s="97"/>
      <c r="V53" s="97"/>
      <c r="W53" s="97"/>
      <c r="X53" s="100"/>
      <c r="Y53" s="142"/>
      <c r="Z53" s="142"/>
    </row>
    <row r="54">
      <c r="A54" s="104"/>
      <c r="B54" s="121"/>
      <c r="C54" s="132">
        <f t="shared" ref="C54:C59" si="15">IF(ISBLANK($C$9),"",C53+1)</f>
        <v>45727</v>
      </c>
      <c r="D54" s="133"/>
      <c r="E54" s="121"/>
      <c r="F54" s="134" t="str">
        <f t="shared" ref="F54:F59" si="16">IF(ISNUMBER(F53),F53+1,"")</f>
        <v/>
      </c>
      <c r="G54" s="134"/>
      <c r="H54" s="121"/>
      <c r="I54" s="133">
        <v>987.0</v>
      </c>
      <c r="J54" s="133">
        <v>90.0</v>
      </c>
      <c r="K54" s="133"/>
      <c r="L54" s="133"/>
      <c r="M54" s="121"/>
      <c r="N54" s="133">
        <v>10154.0</v>
      </c>
      <c r="O54" s="133"/>
      <c r="P54" s="133"/>
      <c r="Q54" s="97"/>
      <c r="R54" s="97"/>
      <c r="S54" s="97"/>
      <c r="T54" s="97"/>
      <c r="U54" s="97"/>
      <c r="V54" s="97"/>
      <c r="W54" s="97"/>
      <c r="X54" s="100"/>
      <c r="Y54" s="142"/>
      <c r="Z54" s="142"/>
    </row>
    <row r="55">
      <c r="A55" s="104"/>
      <c r="B55" s="121"/>
      <c r="C55" s="132">
        <f t="shared" si="15"/>
        <v>45728</v>
      </c>
      <c r="D55" s="133">
        <v>63.8</v>
      </c>
      <c r="E55" s="121"/>
      <c r="F55" s="134" t="str">
        <f t="shared" si="16"/>
        <v/>
      </c>
      <c r="G55" s="134"/>
      <c r="H55" s="121"/>
      <c r="I55" s="133">
        <v>1026.0</v>
      </c>
      <c r="J55" s="133">
        <v>110.0</v>
      </c>
      <c r="K55" s="133"/>
      <c r="L55" s="133"/>
      <c r="M55" s="121"/>
      <c r="N55" s="133">
        <v>15190.0</v>
      </c>
      <c r="O55" s="133"/>
      <c r="P55" s="133"/>
      <c r="Q55" s="97"/>
      <c r="R55" s="97"/>
      <c r="S55" s="97"/>
      <c r="T55" s="97"/>
      <c r="U55" s="97"/>
      <c r="V55" s="97"/>
      <c r="W55" s="97"/>
      <c r="X55" s="100"/>
      <c r="Y55" s="142"/>
      <c r="Z55" s="142"/>
    </row>
    <row r="56">
      <c r="A56" s="104"/>
      <c r="B56" s="121"/>
      <c r="C56" s="132">
        <f t="shared" si="15"/>
        <v>45729</v>
      </c>
      <c r="D56" s="133">
        <v>63.5</v>
      </c>
      <c r="E56" s="121"/>
      <c r="F56" s="134" t="str">
        <f t="shared" si="16"/>
        <v/>
      </c>
      <c r="G56" s="133">
        <v>1.0</v>
      </c>
      <c r="H56" s="121"/>
      <c r="I56" s="133">
        <v>1167.0</v>
      </c>
      <c r="J56" s="133">
        <v>121.0</v>
      </c>
      <c r="K56" s="134"/>
      <c r="L56" s="134"/>
      <c r="M56" s="121"/>
      <c r="N56" s="133">
        <v>10321.0</v>
      </c>
      <c r="O56" s="133"/>
      <c r="P56" s="134"/>
      <c r="Q56" s="97"/>
      <c r="R56" s="97"/>
      <c r="S56" s="97"/>
      <c r="T56" s="97"/>
      <c r="U56" s="97"/>
      <c r="V56" s="97"/>
      <c r="W56" s="97"/>
      <c r="X56" s="100"/>
      <c r="Y56" s="142"/>
      <c r="Z56" s="142"/>
    </row>
    <row r="57">
      <c r="A57" s="104"/>
      <c r="B57" s="121"/>
      <c r="C57" s="132">
        <f t="shared" si="15"/>
        <v>45730</v>
      </c>
      <c r="D57" s="133">
        <v>62.95</v>
      </c>
      <c r="E57" s="121"/>
      <c r="F57" s="134" t="str">
        <f t="shared" si="16"/>
        <v/>
      </c>
      <c r="G57" s="134"/>
      <c r="H57" s="121"/>
      <c r="I57" s="133">
        <v>1026.0</v>
      </c>
      <c r="J57" s="133">
        <v>90.0</v>
      </c>
      <c r="K57" s="134"/>
      <c r="L57" s="134"/>
      <c r="M57" s="121"/>
      <c r="N57" s="133">
        <v>8799.0</v>
      </c>
      <c r="O57" s="133">
        <v>45.0</v>
      </c>
      <c r="P57" s="133" t="s">
        <v>50</v>
      </c>
      <c r="Q57" s="97"/>
      <c r="R57" s="97"/>
      <c r="S57" s="97"/>
      <c r="T57" s="97"/>
      <c r="U57" s="97"/>
      <c r="V57" s="97"/>
      <c r="W57" s="97"/>
      <c r="X57" s="100"/>
      <c r="Y57" s="142"/>
      <c r="Z57" s="142"/>
    </row>
    <row r="58">
      <c r="A58" s="104"/>
      <c r="B58" s="121"/>
      <c r="C58" s="132">
        <f t="shared" si="15"/>
        <v>45731</v>
      </c>
      <c r="D58" s="133">
        <v>63.2</v>
      </c>
      <c r="E58" s="121"/>
      <c r="F58" s="134" t="str">
        <f t="shared" si="16"/>
        <v/>
      </c>
      <c r="G58" s="134"/>
      <c r="H58" s="121"/>
      <c r="I58" s="133">
        <v>1124.0</v>
      </c>
      <c r="J58" s="133">
        <v>102.0</v>
      </c>
      <c r="K58" s="134"/>
      <c r="L58" s="134"/>
      <c r="M58" s="121"/>
      <c r="N58" s="133">
        <v>10124.0</v>
      </c>
      <c r="O58" s="133">
        <v>45.0</v>
      </c>
      <c r="P58" s="133" t="s">
        <v>86</v>
      </c>
      <c r="Q58" s="97"/>
      <c r="R58" s="97"/>
      <c r="S58" s="97"/>
      <c r="T58" s="97"/>
      <c r="U58" s="97"/>
      <c r="V58" s="97"/>
      <c r="W58" s="97"/>
      <c r="X58" s="100"/>
      <c r="Y58" s="142"/>
      <c r="Z58" s="142"/>
    </row>
    <row r="59">
      <c r="A59" s="104"/>
      <c r="B59" s="121"/>
      <c r="C59" s="135">
        <f t="shared" si="15"/>
        <v>45732</v>
      </c>
      <c r="D59" s="136"/>
      <c r="E59" s="121"/>
      <c r="F59" s="137" t="str">
        <f t="shared" si="16"/>
        <v/>
      </c>
      <c r="G59" s="137"/>
      <c r="H59" s="121"/>
      <c r="I59" s="136">
        <v>1132.0</v>
      </c>
      <c r="J59" s="136">
        <v>117.0</v>
      </c>
      <c r="K59" s="137"/>
      <c r="L59" s="137"/>
      <c r="M59" s="121"/>
      <c r="N59" s="136">
        <v>9874.0</v>
      </c>
      <c r="O59" s="136">
        <v>45.0</v>
      </c>
      <c r="P59" s="136" t="s">
        <v>48</v>
      </c>
      <c r="Q59" s="97"/>
      <c r="R59" s="97"/>
      <c r="S59" s="97"/>
      <c r="T59" s="97"/>
      <c r="U59" s="97"/>
      <c r="V59" s="97"/>
      <c r="W59" s="97"/>
      <c r="X59" s="100"/>
      <c r="Y59" s="142"/>
      <c r="Z59" s="142"/>
    </row>
    <row r="60">
      <c r="A60" s="104"/>
      <c r="B60" s="138"/>
      <c r="C60" s="112" t="s">
        <v>51</v>
      </c>
      <c r="D60" s="116">
        <f>IFERROR(ROUND(AVERAGE(D53:D59),1),0)</f>
        <v>63.5</v>
      </c>
      <c r="E60" s="138"/>
      <c r="F60" s="115" t="s">
        <v>52</v>
      </c>
      <c r="G60" s="11"/>
      <c r="H60" s="138"/>
      <c r="I60" s="116">
        <f>IFERROR(ROUND(AVERAGEIF(I53:I59,"&lt;&gt;0"),0),0)</f>
        <v>1067</v>
      </c>
      <c r="J60" s="116">
        <f t="shared" ref="J60:L60" si="17">IFERROR(ROUND(AVERAGE(J53:J59),0),0)</f>
        <v>104</v>
      </c>
      <c r="K60" s="116">
        <f t="shared" si="17"/>
        <v>0</v>
      </c>
      <c r="L60" s="116">
        <f t="shared" si="17"/>
        <v>0</v>
      </c>
      <c r="M60" s="138"/>
      <c r="N60" s="116">
        <f>IFERROR(ROUND(AVERAGE(N53:N59),0),0)</f>
        <v>10618</v>
      </c>
      <c r="O60" s="116">
        <f>IFERROR(SUM(O53:O59),0)</f>
        <v>160</v>
      </c>
      <c r="P60" s="116">
        <f>IFERROR(COUNTA(P53:P59),0)</f>
        <v>4</v>
      </c>
      <c r="Q60" s="97"/>
      <c r="R60" s="97"/>
      <c r="S60" s="97"/>
      <c r="T60" s="97"/>
      <c r="U60" s="97"/>
      <c r="V60" s="97"/>
      <c r="W60" s="97"/>
      <c r="X60" s="100"/>
      <c r="Y60" s="142"/>
      <c r="Z60" s="142"/>
    </row>
    <row r="61">
      <c r="A61" s="97"/>
      <c r="B61" s="109"/>
      <c r="C61" s="97"/>
      <c r="D61" s="98"/>
      <c r="E61" s="140"/>
      <c r="F61" s="140"/>
      <c r="G61" s="140"/>
      <c r="H61" s="140"/>
      <c r="I61" s="140"/>
      <c r="J61" s="140"/>
      <c r="K61" s="140"/>
      <c r="L61" s="140"/>
      <c r="M61" s="140"/>
      <c r="N61" s="98"/>
      <c r="O61" s="98"/>
      <c r="P61" s="98"/>
      <c r="Q61" s="97"/>
      <c r="R61" s="97"/>
      <c r="S61" s="97"/>
      <c r="T61" s="97"/>
      <c r="U61" s="97"/>
      <c r="V61" s="97"/>
      <c r="W61" s="97"/>
      <c r="X61" s="100"/>
      <c r="Y61" s="142"/>
      <c r="Z61" s="142"/>
    </row>
    <row r="62">
      <c r="A62" s="97"/>
      <c r="B62" s="112" t="s">
        <v>30</v>
      </c>
      <c r="C62" s="112" t="s">
        <v>31</v>
      </c>
      <c r="D62" s="113" t="s">
        <v>87</v>
      </c>
      <c r="E62" s="114" t="s">
        <v>33</v>
      </c>
      <c r="F62" s="115" t="s">
        <v>88</v>
      </c>
      <c r="G62" s="11"/>
      <c r="H62" s="114" t="s">
        <v>35</v>
      </c>
      <c r="I62" s="113" t="s">
        <v>89</v>
      </c>
      <c r="J62" s="113" t="s">
        <v>90</v>
      </c>
      <c r="K62" s="113" t="s">
        <v>91</v>
      </c>
      <c r="L62" s="113" t="s">
        <v>92</v>
      </c>
      <c r="M62" s="114" t="s">
        <v>40</v>
      </c>
      <c r="N62" s="113" t="s">
        <v>25</v>
      </c>
      <c r="O62" s="116" t="s">
        <v>93</v>
      </c>
      <c r="P62" s="113" t="s">
        <v>94</v>
      </c>
      <c r="Q62" s="97"/>
      <c r="R62" s="97"/>
      <c r="S62" s="97"/>
      <c r="T62" s="97"/>
      <c r="U62" s="97"/>
      <c r="V62" s="97"/>
      <c r="W62" s="97"/>
      <c r="X62" s="100"/>
      <c r="Y62" s="142"/>
      <c r="Z62" s="142"/>
    </row>
    <row r="63">
      <c r="A63" s="104"/>
      <c r="B63" s="118">
        <f>B52+1</f>
        <v>6</v>
      </c>
      <c r="C63" s="119" t="s">
        <v>43</v>
      </c>
      <c r="D63" s="120" t="s">
        <v>44</v>
      </c>
      <c r="E63" s="121"/>
      <c r="F63" s="122" t="s">
        <v>45</v>
      </c>
      <c r="G63" s="11"/>
      <c r="H63" s="121"/>
      <c r="I63" s="123" t="s">
        <v>46</v>
      </c>
      <c r="J63" s="10"/>
      <c r="K63" s="10"/>
      <c r="L63" s="11"/>
      <c r="M63" s="121"/>
      <c r="N63" s="119"/>
      <c r="O63" s="119"/>
      <c r="P63" s="120"/>
      <c r="Q63" s="141"/>
      <c r="R63" s="141"/>
      <c r="S63" s="141"/>
      <c r="T63" s="141"/>
      <c r="U63" s="141"/>
      <c r="V63" s="141"/>
      <c r="W63" s="141"/>
      <c r="X63" s="100"/>
      <c r="Y63" s="142"/>
      <c r="Z63" s="142"/>
    </row>
    <row r="64">
      <c r="A64" s="104"/>
      <c r="B64" s="121"/>
      <c r="C64" s="126">
        <f>IF(ISBLANK($C$9),"",C59+1)</f>
        <v>45733</v>
      </c>
      <c r="D64" s="127">
        <v>62.0</v>
      </c>
      <c r="E64" s="121"/>
      <c r="F64" s="127" t="str">
        <f>IF(ISNUMBER(F59),F59+1,"")</f>
        <v/>
      </c>
      <c r="G64" s="128"/>
      <c r="H64" s="121"/>
      <c r="I64" s="127"/>
      <c r="J64" s="127" t="s">
        <v>95</v>
      </c>
      <c r="K64" s="127"/>
      <c r="L64" s="127"/>
      <c r="M64" s="121"/>
      <c r="N64" s="127"/>
      <c r="O64" s="127"/>
      <c r="P64" s="127"/>
      <c r="Q64" s="97"/>
      <c r="R64" s="97"/>
      <c r="S64" s="97"/>
      <c r="T64" s="97"/>
      <c r="U64" s="97"/>
      <c r="V64" s="97"/>
      <c r="W64" s="97"/>
      <c r="X64" s="100"/>
      <c r="Y64" s="142"/>
      <c r="Z64" s="142"/>
    </row>
    <row r="65">
      <c r="A65" s="104"/>
      <c r="B65" s="121"/>
      <c r="C65" s="132">
        <f t="shared" ref="C65:C70" si="18">IF(ISBLANK($C$9),"",C64+1)</f>
        <v>45734</v>
      </c>
      <c r="D65" s="133"/>
      <c r="E65" s="121"/>
      <c r="F65" s="134" t="str">
        <f t="shared" ref="F65:F70" si="19">IF(ISNUMBER(F64),F64+1,"")</f>
        <v/>
      </c>
      <c r="G65" s="134"/>
      <c r="H65" s="121"/>
      <c r="I65" s="133">
        <f t="shared" ref="I65:I70" si="20">J65*4+K65*4+L65*9</f>
        <v>0</v>
      </c>
      <c r="J65" s="133"/>
      <c r="K65" s="133"/>
      <c r="L65" s="133"/>
      <c r="M65" s="121"/>
      <c r="N65" s="134"/>
      <c r="O65" s="133"/>
      <c r="P65" s="133"/>
      <c r="Q65" s="97"/>
      <c r="R65" s="97"/>
      <c r="S65" s="97"/>
      <c r="T65" s="97"/>
      <c r="U65" s="97"/>
      <c r="V65" s="97"/>
      <c r="W65" s="97"/>
      <c r="X65" s="100"/>
      <c r="Y65" s="142"/>
      <c r="Z65" s="142"/>
    </row>
    <row r="66">
      <c r="A66" s="104"/>
      <c r="B66" s="121"/>
      <c r="C66" s="132">
        <f t="shared" si="18"/>
        <v>45735</v>
      </c>
      <c r="D66" s="133"/>
      <c r="E66" s="121"/>
      <c r="F66" s="134" t="str">
        <f t="shared" si="19"/>
        <v/>
      </c>
      <c r="G66" s="134"/>
      <c r="H66" s="121"/>
      <c r="I66" s="133">
        <f t="shared" si="20"/>
        <v>0</v>
      </c>
      <c r="J66" s="133"/>
      <c r="K66" s="133"/>
      <c r="L66" s="133"/>
      <c r="M66" s="121"/>
      <c r="N66" s="134"/>
      <c r="O66" s="133"/>
      <c r="P66" s="133"/>
      <c r="Q66" s="97"/>
      <c r="R66" s="97"/>
      <c r="S66" s="97"/>
      <c r="T66" s="97"/>
      <c r="U66" s="97"/>
      <c r="V66" s="97"/>
      <c r="W66" s="97"/>
      <c r="X66" s="100"/>
      <c r="Y66" s="142"/>
      <c r="Z66" s="142"/>
    </row>
    <row r="67">
      <c r="A67" s="104"/>
      <c r="B67" s="121"/>
      <c r="C67" s="132">
        <f t="shared" si="18"/>
        <v>45736</v>
      </c>
      <c r="D67" s="133"/>
      <c r="E67" s="121"/>
      <c r="F67" s="134" t="str">
        <f t="shared" si="19"/>
        <v/>
      </c>
      <c r="G67" s="134"/>
      <c r="H67" s="121"/>
      <c r="I67" s="133">
        <f t="shared" si="20"/>
        <v>0</v>
      </c>
      <c r="J67" s="134"/>
      <c r="K67" s="134"/>
      <c r="L67" s="134"/>
      <c r="M67" s="121"/>
      <c r="N67" s="134"/>
      <c r="O67" s="133"/>
      <c r="P67" s="134"/>
      <c r="Q67" s="97"/>
      <c r="R67" s="97"/>
      <c r="S67" s="97"/>
      <c r="T67" s="97"/>
      <c r="U67" s="97"/>
      <c r="V67" s="97"/>
      <c r="W67" s="97"/>
      <c r="X67" s="100"/>
      <c r="Y67" s="142"/>
      <c r="Z67" s="142"/>
    </row>
    <row r="68">
      <c r="A68" s="104"/>
      <c r="B68" s="121"/>
      <c r="C68" s="132">
        <f t="shared" si="18"/>
        <v>45737</v>
      </c>
      <c r="D68" s="133"/>
      <c r="E68" s="121"/>
      <c r="F68" s="134" t="str">
        <f t="shared" si="19"/>
        <v/>
      </c>
      <c r="G68" s="134"/>
      <c r="H68" s="121"/>
      <c r="I68" s="133">
        <f t="shared" si="20"/>
        <v>0</v>
      </c>
      <c r="J68" s="134"/>
      <c r="K68" s="134"/>
      <c r="L68" s="134"/>
      <c r="M68" s="121"/>
      <c r="N68" s="134"/>
      <c r="O68" s="133"/>
      <c r="P68" s="133"/>
      <c r="Q68" s="97"/>
      <c r="R68" s="97"/>
      <c r="S68" s="97"/>
      <c r="T68" s="97"/>
      <c r="U68" s="97"/>
      <c r="V68" s="97"/>
      <c r="W68" s="97"/>
      <c r="X68" s="142"/>
      <c r="Y68" s="142"/>
      <c r="Z68" s="142"/>
    </row>
    <row r="69">
      <c r="A69" s="104"/>
      <c r="B69" s="121"/>
      <c r="C69" s="132">
        <f t="shared" si="18"/>
        <v>45738</v>
      </c>
      <c r="D69" s="133"/>
      <c r="E69" s="121"/>
      <c r="F69" s="134" t="str">
        <f t="shared" si="19"/>
        <v/>
      </c>
      <c r="G69" s="134"/>
      <c r="H69" s="121"/>
      <c r="I69" s="133">
        <f t="shared" si="20"/>
        <v>0</v>
      </c>
      <c r="J69" s="134"/>
      <c r="K69" s="134"/>
      <c r="L69" s="134"/>
      <c r="M69" s="121"/>
      <c r="N69" s="134"/>
      <c r="O69" s="133"/>
      <c r="P69" s="133"/>
      <c r="Q69" s="97"/>
      <c r="R69" s="97"/>
      <c r="S69" s="97"/>
      <c r="T69" s="97"/>
      <c r="U69" s="97"/>
      <c r="V69" s="97"/>
      <c r="W69" s="97"/>
      <c r="X69" s="142"/>
      <c r="Y69" s="142"/>
      <c r="Z69" s="142"/>
    </row>
    <row r="70">
      <c r="A70" s="104"/>
      <c r="B70" s="121"/>
      <c r="C70" s="135">
        <f t="shared" si="18"/>
        <v>45739</v>
      </c>
      <c r="D70" s="136"/>
      <c r="E70" s="121"/>
      <c r="F70" s="137" t="str">
        <f t="shared" si="19"/>
        <v/>
      </c>
      <c r="G70" s="137"/>
      <c r="H70" s="121"/>
      <c r="I70" s="136">
        <f t="shared" si="20"/>
        <v>0</v>
      </c>
      <c r="J70" s="137"/>
      <c r="K70" s="137"/>
      <c r="L70" s="137"/>
      <c r="M70" s="121"/>
      <c r="N70" s="137"/>
      <c r="O70" s="136"/>
      <c r="P70" s="137"/>
      <c r="Q70" s="97"/>
      <c r="R70" s="97"/>
      <c r="S70" s="97"/>
      <c r="T70" s="97"/>
      <c r="U70" s="97"/>
      <c r="V70" s="97"/>
      <c r="W70" s="97"/>
      <c r="X70" s="142"/>
      <c r="Y70" s="142"/>
      <c r="Z70" s="142"/>
    </row>
    <row r="71">
      <c r="A71" s="104"/>
      <c r="B71" s="138"/>
      <c r="C71" s="112" t="s">
        <v>51</v>
      </c>
      <c r="D71" s="116">
        <f>IFERROR(ROUND(AVERAGE(D64:D70),1),0)</f>
        <v>62</v>
      </c>
      <c r="E71" s="138"/>
      <c r="F71" s="115" t="s">
        <v>52</v>
      </c>
      <c r="G71" s="11"/>
      <c r="H71" s="138"/>
      <c r="I71" s="116">
        <f>IFERROR(ROUND(AVERAGEIF(I64:I70,"&lt;&gt;0"),0),0)</f>
        <v>0</v>
      </c>
      <c r="J71" s="116">
        <f t="shared" ref="J71:L71" si="21">IFERROR(ROUND(AVERAGE(J64:J70),0),0)</f>
        <v>0</v>
      </c>
      <c r="K71" s="116">
        <f t="shared" si="21"/>
        <v>0</v>
      </c>
      <c r="L71" s="116">
        <f t="shared" si="21"/>
        <v>0</v>
      </c>
      <c r="M71" s="138"/>
      <c r="N71" s="116">
        <f>IFERROR(ROUND(AVERAGE(N64:N70),0),0)</f>
        <v>0</v>
      </c>
      <c r="O71" s="116">
        <f>IFERROR(SUM(O64:O70),0)</f>
        <v>0</v>
      </c>
      <c r="P71" s="116">
        <f>IFERROR(COUNTA(P64:P70),0)</f>
        <v>0</v>
      </c>
      <c r="Q71" s="97"/>
      <c r="R71" s="97"/>
      <c r="S71" s="97"/>
      <c r="T71" s="97"/>
      <c r="U71" s="97"/>
      <c r="V71" s="97"/>
      <c r="W71" s="97"/>
      <c r="X71" s="142"/>
      <c r="Y71" s="142"/>
      <c r="Z71" s="142"/>
    </row>
    <row r="72">
      <c r="A72" s="97"/>
      <c r="B72" s="109"/>
      <c r="C72" s="97"/>
      <c r="D72" s="98"/>
      <c r="E72" s="140"/>
      <c r="F72" s="140"/>
      <c r="G72" s="140"/>
      <c r="H72" s="140"/>
      <c r="I72" s="140"/>
      <c r="J72" s="140"/>
      <c r="K72" s="140"/>
      <c r="L72" s="140"/>
      <c r="M72" s="140"/>
      <c r="N72" s="98"/>
      <c r="O72" s="98"/>
      <c r="P72" s="98"/>
      <c r="Q72" s="97"/>
      <c r="R72" s="97"/>
      <c r="S72" s="97"/>
      <c r="T72" s="97"/>
      <c r="U72" s="97"/>
      <c r="V72" s="97"/>
      <c r="W72" s="97"/>
      <c r="X72" s="142"/>
      <c r="Y72" s="142"/>
      <c r="Z72" s="142"/>
    </row>
    <row r="73">
      <c r="A73" s="97"/>
      <c r="B73" s="112" t="s">
        <v>30</v>
      </c>
      <c r="C73" s="112" t="s">
        <v>31</v>
      </c>
      <c r="D73" s="113" t="s">
        <v>96</v>
      </c>
      <c r="E73" s="114" t="s">
        <v>33</v>
      </c>
      <c r="F73" s="115" t="s">
        <v>97</v>
      </c>
      <c r="G73" s="11"/>
      <c r="H73" s="114" t="s">
        <v>35</v>
      </c>
      <c r="I73" s="113" t="s">
        <v>98</v>
      </c>
      <c r="J73" s="113" t="s">
        <v>99</v>
      </c>
      <c r="K73" s="113" t="s">
        <v>100</v>
      </c>
      <c r="L73" s="113" t="s">
        <v>101</v>
      </c>
      <c r="M73" s="114" t="s">
        <v>40</v>
      </c>
      <c r="N73" s="113" t="s">
        <v>25</v>
      </c>
      <c r="O73" s="116" t="s">
        <v>102</v>
      </c>
      <c r="P73" s="113" t="s">
        <v>103</v>
      </c>
      <c r="Q73" s="97"/>
      <c r="R73" s="97"/>
      <c r="S73" s="97"/>
      <c r="T73" s="97"/>
      <c r="U73" s="97"/>
      <c r="V73" s="97"/>
      <c r="W73" s="97"/>
      <c r="X73" s="142"/>
      <c r="Y73" s="142"/>
      <c r="Z73" s="142"/>
    </row>
    <row r="74">
      <c r="A74" s="104"/>
      <c r="B74" s="118">
        <f>B63+1</f>
        <v>7</v>
      </c>
      <c r="C74" s="119" t="s">
        <v>43</v>
      </c>
      <c r="D74" s="120" t="s">
        <v>44</v>
      </c>
      <c r="E74" s="121"/>
      <c r="F74" s="122" t="s">
        <v>45</v>
      </c>
      <c r="G74" s="11"/>
      <c r="H74" s="121"/>
      <c r="I74" s="123" t="s">
        <v>46</v>
      </c>
      <c r="J74" s="10"/>
      <c r="K74" s="10"/>
      <c r="L74" s="11"/>
      <c r="M74" s="121"/>
      <c r="N74" s="119"/>
      <c r="O74" s="119"/>
      <c r="P74" s="120"/>
      <c r="Q74" s="141"/>
      <c r="R74" s="141"/>
      <c r="S74" s="141"/>
      <c r="T74" s="141"/>
      <c r="U74" s="141"/>
      <c r="V74" s="141"/>
      <c r="W74" s="141"/>
      <c r="X74" s="142"/>
      <c r="Y74" s="142"/>
      <c r="Z74" s="142"/>
    </row>
    <row r="75">
      <c r="A75" s="104"/>
      <c r="B75" s="121"/>
      <c r="C75" s="126">
        <f>IF(ISBLANK($C$9),"",C70+1)</f>
        <v>45740</v>
      </c>
      <c r="D75" s="127">
        <v>61.2</v>
      </c>
      <c r="E75" s="121"/>
      <c r="F75" s="127" t="str">
        <f>IF(ISNUMBER(F70),F70+1,"")</f>
        <v/>
      </c>
      <c r="G75" s="128"/>
      <c r="H75" s="121"/>
      <c r="I75" s="127">
        <v>1037.0</v>
      </c>
      <c r="J75" s="127">
        <v>112.0</v>
      </c>
      <c r="K75" s="127"/>
      <c r="L75" s="127"/>
      <c r="M75" s="121"/>
      <c r="N75" s="127">
        <v>10975.0</v>
      </c>
      <c r="O75" s="127">
        <v>35.0</v>
      </c>
      <c r="P75" s="127" t="s">
        <v>50</v>
      </c>
      <c r="Q75" s="97"/>
      <c r="R75" s="97"/>
      <c r="S75" s="97"/>
      <c r="T75" s="97"/>
      <c r="U75" s="97"/>
      <c r="V75" s="97"/>
      <c r="W75" s="97"/>
      <c r="X75" s="142"/>
      <c r="Y75" s="142"/>
      <c r="Z75" s="142"/>
    </row>
    <row r="76">
      <c r="A76" s="104"/>
      <c r="B76" s="121"/>
      <c r="C76" s="132">
        <f t="shared" ref="C76:C81" si="22">IF(ISBLANK($C$9),"",C75+1)</f>
        <v>45741</v>
      </c>
      <c r="D76" s="133"/>
      <c r="E76" s="121"/>
      <c r="F76" s="134" t="str">
        <f t="shared" ref="F76:F81" si="23">IF(ISNUMBER(F75),F75+1,"")</f>
        <v/>
      </c>
      <c r="G76" s="134"/>
      <c r="H76" s="121"/>
      <c r="I76" s="133">
        <v>1037.0</v>
      </c>
      <c r="J76" s="133">
        <v>112.0</v>
      </c>
      <c r="K76" s="133"/>
      <c r="L76" s="133"/>
      <c r="M76" s="121"/>
      <c r="N76" s="133">
        <v>8976.0</v>
      </c>
      <c r="O76" s="133"/>
      <c r="P76" s="133"/>
      <c r="Q76" s="97"/>
      <c r="R76" s="97"/>
      <c r="S76" s="97"/>
      <c r="T76" s="97"/>
      <c r="U76" s="97"/>
      <c r="V76" s="97"/>
      <c r="W76" s="97"/>
      <c r="X76" s="142"/>
      <c r="Y76" s="142"/>
      <c r="Z76" s="142"/>
    </row>
    <row r="77">
      <c r="A77" s="104"/>
      <c r="B77" s="121"/>
      <c r="C77" s="132">
        <f t="shared" si="22"/>
        <v>45742</v>
      </c>
      <c r="D77" s="133"/>
      <c r="E77" s="121"/>
      <c r="F77" s="134" t="str">
        <f t="shared" si="23"/>
        <v/>
      </c>
      <c r="G77" s="134"/>
      <c r="H77" s="121"/>
      <c r="I77" s="133">
        <v>1152.0</v>
      </c>
      <c r="J77" s="133">
        <v>118.0</v>
      </c>
      <c r="K77" s="133"/>
      <c r="L77" s="133"/>
      <c r="M77" s="121"/>
      <c r="N77" s="133">
        <v>9653.0</v>
      </c>
      <c r="O77" s="133">
        <v>35.0</v>
      </c>
      <c r="P77" s="133" t="s">
        <v>47</v>
      </c>
      <c r="Q77" s="97"/>
      <c r="R77" s="97"/>
      <c r="S77" s="97"/>
      <c r="T77" s="97"/>
      <c r="U77" s="97"/>
      <c r="V77" s="97"/>
      <c r="W77" s="97"/>
      <c r="X77" s="142"/>
      <c r="Y77" s="142"/>
      <c r="Z77" s="142"/>
    </row>
    <row r="78">
      <c r="A78" s="104"/>
      <c r="B78" s="121"/>
      <c r="C78" s="132">
        <f t="shared" si="22"/>
        <v>45743</v>
      </c>
      <c r="D78" s="133"/>
      <c r="E78" s="121"/>
      <c r="F78" s="134" t="str">
        <f t="shared" si="23"/>
        <v/>
      </c>
      <c r="G78" s="134"/>
      <c r="H78" s="121"/>
      <c r="I78" s="133">
        <v>1121.0</v>
      </c>
      <c r="J78" s="133">
        <v>109.0</v>
      </c>
      <c r="K78" s="134"/>
      <c r="L78" s="134"/>
      <c r="M78" s="121"/>
      <c r="N78" s="133">
        <v>10012.0</v>
      </c>
      <c r="O78" s="133"/>
      <c r="P78" s="134"/>
      <c r="Q78" s="97"/>
      <c r="R78" s="97"/>
      <c r="S78" s="97"/>
      <c r="T78" s="97"/>
      <c r="U78" s="97"/>
      <c r="V78" s="97"/>
      <c r="W78" s="97"/>
      <c r="X78" s="142"/>
      <c r="Y78" s="142"/>
      <c r="Z78" s="142"/>
    </row>
    <row r="79">
      <c r="A79" s="104"/>
      <c r="B79" s="121"/>
      <c r="C79" s="132">
        <f t="shared" si="22"/>
        <v>45744</v>
      </c>
      <c r="D79" s="133"/>
      <c r="E79" s="121"/>
      <c r="F79" s="134" t="str">
        <f t="shared" si="23"/>
        <v/>
      </c>
      <c r="G79" s="134"/>
      <c r="H79" s="121"/>
      <c r="I79" s="133">
        <v>1257.0</v>
      </c>
      <c r="J79" s="133">
        <v>108.0</v>
      </c>
      <c r="K79" s="134"/>
      <c r="L79" s="134"/>
      <c r="M79" s="121"/>
      <c r="N79" s="133">
        <v>8763.0</v>
      </c>
      <c r="O79" s="133">
        <v>30.0</v>
      </c>
      <c r="P79" s="133" t="s">
        <v>47</v>
      </c>
      <c r="Q79" s="97"/>
      <c r="R79" s="97"/>
      <c r="S79" s="97"/>
      <c r="T79" s="97"/>
      <c r="U79" s="97"/>
      <c r="V79" s="97"/>
      <c r="W79" s="97"/>
      <c r="X79" s="142"/>
      <c r="Y79" s="142"/>
      <c r="Z79" s="142"/>
    </row>
    <row r="80">
      <c r="A80" s="104"/>
      <c r="B80" s="121"/>
      <c r="C80" s="132">
        <f t="shared" si="22"/>
        <v>45745</v>
      </c>
      <c r="D80" s="133"/>
      <c r="E80" s="121"/>
      <c r="F80" s="134" t="str">
        <f t="shared" si="23"/>
        <v/>
      </c>
      <c r="G80" s="134"/>
      <c r="H80" s="121"/>
      <c r="I80" s="133">
        <v>1131.0</v>
      </c>
      <c r="J80" s="133">
        <v>106.0</v>
      </c>
      <c r="K80" s="134"/>
      <c r="L80" s="134"/>
      <c r="M80" s="121"/>
      <c r="N80" s="133">
        <v>9875.0</v>
      </c>
      <c r="O80" s="133">
        <v>35.0</v>
      </c>
      <c r="P80" s="133" t="s">
        <v>48</v>
      </c>
      <c r="Q80" s="97"/>
      <c r="R80" s="97"/>
      <c r="S80" s="97"/>
      <c r="T80" s="97"/>
      <c r="U80" s="97"/>
      <c r="V80" s="97"/>
      <c r="W80" s="97"/>
      <c r="X80" s="142"/>
      <c r="Y80" s="142"/>
      <c r="Z80" s="142"/>
    </row>
    <row r="81">
      <c r="A81" s="104"/>
      <c r="B81" s="121"/>
      <c r="C81" s="135">
        <f t="shared" si="22"/>
        <v>45746</v>
      </c>
      <c r="D81" s="136"/>
      <c r="E81" s="121"/>
      <c r="F81" s="137" t="str">
        <f t="shared" si="23"/>
        <v/>
      </c>
      <c r="G81" s="137"/>
      <c r="H81" s="121"/>
      <c r="I81" s="136">
        <v>1074.0</v>
      </c>
      <c r="J81" s="136">
        <v>107.0</v>
      </c>
      <c r="K81" s="137"/>
      <c r="L81" s="137"/>
      <c r="M81" s="121"/>
      <c r="N81" s="136">
        <v>8975.0</v>
      </c>
      <c r="O81" s="136"/>
      <c r="P81" s="137"/>
      <c r="Q81" s="97"/>
      <c r="R81" s="97"/>
      <c r="S81" s="97"/>
      <c r="T81" s="97"/>
      <c r="U81" s="97"/>
      <c r="V81" s="97"/>
      <c r="W81" s="97"/>
      <c r="X81" s="142"/>
      <c r="Y81" s="142"/>
      <c r="Z81" s="142"/>
    </row>
    <row r="82">
      <c r="A82" s="104"/>
      <c r="B82" s="138"/>
      <c r="C82" s="112" t="s">
        <v>51</v>
      </c>
      <c r="D82" s="116">
        <f>IFERROR(ROUND(AVERAGE(D75:D81),1),0)</f>
        <v>61.2</v>
      </c>
      <c r="E82" s="138"/>
      <c r="F82" s="115" t="s">
        <v>52</v>
      </c>
      <c r="G82" s="11"/>
      <c r="H82" s="138"/>
      <c r="I82" s="116">
        <f>IFERROR(ROUND(AVERAGEIF(I75:I81,"&lt;&gt;0"),0),0)</f>
        <v>1116</v>
      </c>
      <c r="J82" s="116">
        <f t="shared" ref="J82:L82" si="24">IFERROR(ROUND(AVERAGE(J75:J81),0),0)</f>
        <v>110</v>
      </c>
      <c r="K82" s="116">
        <f t="shared" si="24"/>
        <v>0</v>
      </c>
      <c r="L82" s="116">
        <f t="shared" si="24"/>
        <v>0</v>
      </c>
      <c r="M82" s="138"/>
      <c r="N82" s="116">
        <f>IFERROR(ROUND(AVERAGE(N75:N81),0),0)</f>
        <v>9604</v>
      </c>
      <c r="O82" s="116">
        <f>IFERROR(SUM(O75:O81),0)</f>
        <v>135</v>
      </c>
      <c r="P82" s="116">
        <f>IFERROR(COUNTA(P75:P81),0)</f>
        <v>4</v>
      </c>
      <c r="Q82" s="97"/>
      <c r="R82" s="97"/>
      <c r="S82" s="97"/>
      <c r="T82" s="97"/>
      <c r="U82" s="97"/>
      <c r="V82" s="97"/>
      <c r="W82" s="97"/>
      <c r="X82" s="142"/>
      <c r="Y82" s="142"/>
      <c r="Z82" s="142"/>
    </row>
    <row r="83">
      <c r="A83" s="97"/>
      <c r="B83" s="109"/>
      <c r="C83" s="97"/>
      <c r="D83" s="98"/>
      <c r="E83" s="140"/>
      <c r="F83" s="140"/>
      <c r="G83" s="140"/>
      <c r="H83" s="140"/>
      <c r="I83" s="140"/>
      <c r="J83" s="140"/>
      <c r="K83" s="140"/>
      <c r="L83" s="140"/>
      <c r="M83" s="140"/>
      <c r="N83" s="98"/>
      <c r="O83" s="98"/>
      <c r="P83" s="98"/>
      <c r="Q83" s="97"/>
      <c r="R83" s="97"/>
      <c r="S83" s="97"/>
      <c r="T83" s="97"/>
      <c r="U83" s="97"/>
      <c r="V83" s="97"/>
      <c r="W83" s="97"/>
      <c r="X83" s="142"/>
      <c r="Y83" s="142"/>
      <c r="Z83" s="142"/>
    </row>
    <row r="84">
      <c r="A84" s="97"/>
      <c r="B84" s="112" t="s">
        <v>30</v>
      </c>
      <c r="C84" s="112" t="s">
        <v>31</v>
      </c>
      <c r="D84" s="113" t="s">
        <v>104</v>
      </c>
      <c r="E84" s="114" t="s">
        <v>33</v>
      </c>
      <c r="F84" s="115" t="s">
        <v>105</v>
      </c>
      <c r="G84" s="11"/>
      <c r="H84" s="114" t="s">
        <v>35</v>
      </c>
      <c r="I84" s="113" t="s">
        <v>106</v>
      </c>
      <c r="J84" s="113" t="s">
        <v>107</v>
      </c>
      <c r="K84" s="113" t="s">
        <v>108</v>
      </c>
      <c r="L84" s="113" t="s">
        <v>109</v>
      </c>
      <c r="M84" s="114" t="s">
        <v>40</v>
      </c>
      <c r="N84" s="113" t="s">
        <v>25</v>
      </c>
      <c r="O84" s="116" t="s">
        <v>110</v>
      </c>
      <c r="P84" s="113" t="s">
        <v>111</v>
      </c>
      <c r="Q84" s="97"/>
      <c r="R84" s="97"/>
      <c r="S84" s="97"/>
      <c r="T84" s="97"/>
      <c r="U84" s="97"/>
      <c r="V84" s="97"/>
      <c r="W84" s="97"/>
      <c r="X84" s="142"/>
      <c r="Y84" s="142"/>
      <c r="Z84" s="142"/>
    </row>
    <row r="85">
      <c r="A85" s="104"/>
      <c r="B85" s="118">
        <f>B74+1</f>
        <v>8</v>
      </c>
      <c r="C85" s="119" t="s">
        <v>43</v>
      </c>
      <c r="D85" s="120" t="s">
        <v>44</v>
      </c>
      <c r="E85" s="121"/>
      <c r="F85" s="122" t="s">
        <v>45</v>
      </c>
      <c r="G85" s="11"/>
      <c r="H85" s="121"/>
      <c r="I85" s="123" t="s">
        <v>46</v>
      </c>
      <c r="J85" s="10"/>
      <c r="K85" s="10"/>
      <c r="L85" s="11"/>
      <c r="M85" s="121"/>
      <c r="N85" s="119"/>
      <c r="O85" s="119"/>
      <c r="P85" s="120"/>
      <c r="Q85" s="141"/>
      <c r="R85" s="141"/>
      <c r="S85" s="141"/>
      <c r="T85" s="141"/>
      <c r="U85" s="141"/>
      <c r="V85" s="141"/>
      <c r="W85" s="141"/>
      <c r="X85" s="142"/>
      <c r="Y85" s="142"/>
      <c r="Z85" s="142"/>
    </row>
    <row r="86">
      <c r="A86" s="104"/>
      <c r="B86" s="121"/>
      <c r="C86" s="126">
        <f>IF(ISBLANK($C$9),"",C81+1)</f>
        <v>45747</v>
      </c>
      <c r="D86" s="127"/>
      <c r="E86" s="121"/>
      <c r="F86" s="127" t="str">
        <f>IF(ISNUMBER(F81),F81+1,"")</f>
        <v/>
      </c>
      <c r="G86" s="128"/>
      <c r="H86" s="121"/>
      <c r="I86" s="127">
        <f t="shared" ref="I86:I92" si="25">J86*4+K86*4+L86*9</f>
        <v>0</v>
      </c>
      <c r="J86" s="127"/>
      <c r="K86" s="127"/>
      <c r="L86" s="127"/>
      <c r="M86" s="121"/>
      <c r="N86" s="128"/>
      <c r="O86" s="127"/>
      <c r="P86" s="127"/>
      <c r="Q86" s="97"/>
      <c r="R86" s="97"/>
      <c r="S86" s="97"/>
      <c r="T86" s="97"/>
      <c r="U86" s="97"/>
      <c r="V86" s="97"/>
      <c r="W86" s="97"/>
      <c r="X86" s="142"/>
      <c r="Y86" s="142"/>
      <c r="Z86" s="142"/>
    </row>
    <row r="87">
      <c r="A87" s="104"/>
      <c r="B87" s="121"/>
      <c r="C87" s="132">
        <f t="shared" ref="C87:C92" si="26">IF(ISBLANK($C$9),"",C86+1)</f>
        <v>45748</v>
      </c>
      <c r="D87" s="133"/>
      <c r="E87" s="121"/>
      <c r="F87" s="134" t="str">
        <f t="shared" ref="F87:F92" si="27">IF(ISNUMBER(F86),F86+1,"")</f>
        <v/>
      </c>
      <c r="G87" s="134"/>
      <c r="H87" s="121"/>
      <c r="I87" s="133">
        <f t="shared" si="25"/>
        <v>0</v>
      </c>
      <c r="J87" s="133"/>
      <c r="K87" s="133"/>
      <c r="L87" s="133"/>
      <c r="M87" s="121"/>
      <c r="N87" s="134"/>
      <c r="O87" s="133"/>
      <c r="P87" s="133"/>
      <c r="Q87" s="97"/>
      <c r="R87" s="97"/>
      <c r="S87" s="97"/>
      <c r="T87" s="97"/>
      <c r="U87" s="97"/>
      <c r="V87" s="97"/>
      <c r="W87" s="97"/>
      <c r="X87" s="142"/>
      <c r="Y87" s="142"/>
      <c r="Z87" s="142"/>
    </row>
    <row r="88">
      <c r="A88" s="104"/>
      <c r="B88" s="121"/>
      <c r="C88" s="132">
        <f t="shared" si="26"/>
        <v>45749</v>
      </c>
      <c r="D88" s="133"/>
      <c r="E88" s="121"/>
      <c r="F88" s="134" t="str">
        <f t="shared" si="27"/>
        <v/>
      </c>
      <c r="G88" s="134"/>
      <c r="H88" s="121"/>
      <c r="I88" s="133">
        <f t="shared" si="25"/>
        <v>0</v>
      </c>
      <c r="J88" s="133"/>
      <c r="K88" s="133"/>
      <c r="L88" s="133"/>
      <c r="M88" s="121"/>
      <c r="N88" s="134"/>
      <c r="O88" s="133"/>
      <c r="P88" s="133"/>
      <c r="Q88" s="97"/>
      <c r="R88" s="97"/>
      <c r="S88" s="97"/>
      <c r="T88" s="97"/>
      <c r="U88" s="97"/>
      <c r="V88" s="97"/>
      <c r="W88" s="97"/>
      <c r="X88" s="142"/>
      <c r="Y88" s="142"/>
      <c r="Z88" s="142"/>
    </row>
    <row r="89">
      <c r="A89" s="104"/>
      <c r="B89" s="121"/>
      <c r="C89" s="132">
        <f t="shared" si="26"/>
        <v>45750</v>
      </c>
      <c r="D89" s="133"/>
      <c r="E89" s="121"/>
      <c r="F89" s="134" t="str">
        <f t="shared" si="27"/>
        <v/>
      </c>
      <c r="G89" s="134"/>
      <c r="H89" s="121"/>
      <c r="I89" s="133">
        <f t="shared" si="25"/>
        <v>0</v>
      </c>
      <c r="J89" s="134"/>
      <c r="K89" s="134"/>
      <c r="L89" s="134"/>
      <c r="M89" s="121"/>
      <c r="N89" s="134"/>
      <c r="O89" s="133"/>
      <c r="P89" s="134"/>
      <c r="Q89" s="97"/>
      <c r="R89" s="97"/>
      <c r="S89" s="97"/>
      <c r="T89" s="97"/>
      <c r="U89" s="97"/>
      <c r="V89" s="97"/>
      <c r="W89" s="97"/>
      <c r="X89" s="142"/>
      <c r="Y89" s="142"/>
      <c r="Z89" s="142"/>
    </row>
    <row r="90">
      <c r="A90" s="104"/>
      <c r="B90" s="121"/>
      <c r="C90" s="132">
        <f t="shared" si="26"/>
        <v>45751</v>
      </c>
      <c r="D90" s="133"/>
      <c r="E90" s="121"/>
      <c r="F90" s="134" t="str">
        <f t="shared" si="27"/>
        <v/>
      </c>
      <c r="G90" s="134"/>
      <c r="H90" s="121"/>
      <c r="I90" s="133">
        <f t="shared" si="25"/>
        <v>0</v>
      </c>
      <c r="J90" s="134"/>
      <c r="K90" s="134"/>
      <c r="L90" s="134"/>
      <c r="M90" s="121"/>
      <c r="N90" s="134"/>
      <c r="O90" s="133"/>
      <c r="P90" s="133"/>
      <c r="Q90" s="97"/>
      <c r="R90" s="97"/>
      <c r="S90" s="97"/>
      <c r="T90" s="97"/>
      <c r="U90" s="97"/>
      <c r="V90" s="97"/>
      <c r="W90" s="97"/>
      <c r="X90" s="142"/>
      <c r="Y90" s="142"/>
      <c r="Z90" s="142"/>
    </row>
    <row r="91">
      <c r="A91" s="104"/>
      <c r="B91" s="121"/>
      <c r="C91" s="132">
        <f t="shared" si="26"/>
        <v>45752</v>
      </c>
      <c r="D91" s="133"/>
      <c r="E91" s="121"/>
      <c r="F91" s="134" t="str">
        <f t="shared" si="27"/>
        <v/>
      </c>
      <c r="G91" s="134"/>
      <c r="H91" s="121"/>
      <c r="I91" s="133">
        <f t="shared" si="25"/>
        <v>0</v>
      </c>
      <c r="J91" s="134"/>
      <c r="K91" s="134"/>
      <c r="L91" s="134"/>
      <c r="M91" s="121"/>
      <c r="N91" s="134"/>
      <c r="O91" s="133"/>
      <c r="P91" s="133"/>
      <c r="Q91" s="97"/>
      <c r="R91" s="97"/>
      <c r="S91" s="97"/>
      <c r="T91" s="97"/>
      <c r="U91" s="97"/>
      <c r="V91" s="97"/>
      <c r="W91" s="97"/>
      <c r="X91" s="142"/>
      <c r="Y91" s="142"/>
      <c r="Z91" s="142"/>
    </row>
    <row r="92">
      <c r="A92" s="104"/>
      <c r="B92" s="121"/>
      <c r="C92" s="135">
        <f t="shared" si="26"/>
        <v>45753</v>
      </c>
      <c r="D92" s="136"/>
      <c r="E92" s="121"/>
      <c r="F92" s="137" t="str">
        <f t="shared" si="27"/>
        <v/>
      </c>
      <c r="G92" s="137"/>
      <c r="H92" s="121"/>
      <c r="I92" s="136">
        <f t="shared" si="25"/>
        <v>0</v>
      </c>
      <c r="J92" s="137"/>
      <c r="K92" s="137"/>
      <c r="L92" s="137"/>
      <c r="M92" s="121"/>
      <c r="N92" s="137"/>
      <c r="O92" s="136"/>
      <c r="P92" s="137"/>
      <c r="Q92" s="97"/>
      <c r="R92" s="97"/>
      <c r="S92" s="97"/>
      <c r="T92" s="97"/>
      <c r="U92" s="97"/>
      <c r="V92" s="97"/>
      <c r="W92" s="97"/>
      <c r="X92" s="142"/>
      <c r="Y92" s="142"/>
      <c r="Z92" s="142"/>
    </row>
    <row r="93">
      <c r="A93" s="104"/>
      <c r="B93" s="138"/>
      <c r="C93" s="112" t="s">
        <v>51</v>
      </c>
      <c r="D93" s="116">
        <f>IFERROR(ROUND(AVERAGE(D86:D92),1),0)</f>
        <v>0</v>
      </c>
      <c r="E93" s="138"/>
      <c r="F93" s="115" t="s">
        <v>52</v>
      </c>
      <c r="G93" s="11"/>
      <c r="H93" s="138"/>
      <c r="I93" s="116">
        <f>IFERROR(ROUND(AVERAGEIF(I86:I92,"&lt;&gt;0"),0),0)</f>
        <v>0</v>
      </c>
      <c r="J93" s="116">
        <f t="shared" ref="J93:L93" si="28">IFERROR(ROUND(AVERAGE(J86:J92),0),0)</f>
        <v>0</v>
      </c>
      <c r="K93" s="116">
        <f t="shared" si="28"/>
        <v>0</v>
      </c>
      <c r="L93" s="116">
        <f t="shared" si="28"/>
        <v>0</v>
      </c>
      <c r="M93" s="138"/>
      <c r="N93" s="116">
        <f>IFERROR(ROUND(AVERAGE(N86:N92),0),0)</f>
        <v>0</v>
      </c>
      <c r="O93" s="116">
        <f>IFERROR(SUM(O86:O92),0)</f>
        <v>0</v>
      </c>
      <c r="P93" s="116">
        <f>IFERROR(COUNTA(P86:P92),0)</f>
        <v>0</v>
      </c>
      <c r="Q93" s="97"/>
      <c r="R93" s="97"/>
      <c r="S93" s="97"/>
      <c r="T93" s="97"/>
      <c r="U93" s="97"/>
      <c r="V93" s="97"/>
      <c r="W93" s="97"/>
      <c r="X93" s="142"/>
      <c r="Y93" s="142"/>
      <c r="Z93" s="142"/>
    </row>
    <row r="94">
      <c r="A94" s="97"/>
      <c r="B94" s="109"/>
      <c r="C94" s="97"/>
      <c r="D94" s="98"/>
      <c r="E94" s="140"/>
      <c r="F94" s="140"/>
      <c r="G94" s="140"/>
      <c r="H94" s="140"/>
      <c r="I94" s="140"/>
      <c r="J94" s="140"/>
      <c r="K94" s="140"/>
      <c r="L94" s="140"/>
      <c r="M94" s="140"/>
      <c r="N94" s="98"/>
      <c r="O94" s="98"/>
      <c r="P94" s="98"/>
      <c r="Q94" s="97"/>
      <c r="R94" s="97"/>
      <c r="S94" s="97"/>
      <c r="T94" s="97"/>
      <c r="U94" s="97"/>
      <c r="V94" s="97"/>
      <c r="W94" s="97"/>
      <c r="X94" s="142"/>
      <c r="Y94" s="142"/>
      <c r="Z94" s="142"/>
    </row>
    <row r="95">
      <c r="A95" s="97"/>
      <c r="B95" s="112" t="s">
        <v>30</v>
      </c>
      <c r="C95" s="112" t="s">
        <v>31</v>
      </c>
      <c r="D95" s="113" t="s">
        <v>112</v>
      </c>
      <c r="E95" s="114" t="s">
        <v>33</v>
      </c>
      <c r="F95" s="115" t="s">
        <v>113</v>
      </c>
      <c r="G95" s="11"/>
      <c r="H95" s="114" t="s">
        <v>35</v>
      </c>
      <c r="I95" s="113" t="s">
        <v>114</v>
      </c>
      <c r="J95" s="113" t="s">
        <v>115</v>
      </c>
      <c r="K95" s="113" t="s">
        <v>116</v>
      </c>
      <c r="L95" s="113" t="s">
        <v>117</v>
      </c>
      <c r="M95" s="114" t="s">
        <v>40</v>
      </c>
      <c r="N95" s="113" t="s">
        <v>25</v>
      </c>
      <c r="O95" s="116" t="s">
        <v>118</v>
      </c>
      <c r="P95" s="113" t="s">
        <v>119</v>
      </c>
      <c r="Q95" s="97"/>
      <c r="R95" s="97"/>
      <c r="S95" s="97"/>
      <c r="T95" s="97"/>
      <c r="U95" s="97"/>
      <c r="V95" s="97"/>
      <c r="W95" s="97"/>
      <c r="X95" s="142"/>
      <c r="Y95" s="142"/>
      <c r="Z95" s="142"/>
    </row>
    <row r="96">
      <c r="A96" s="104"/>
      <c r="B96" s="118">
        <f>B85+1</f>
        <v>9</v>
      </c>
      <c r="C96" s="119" t="s">
        <v>43</v>
      </c>
      <c r="D96" s="120" t="s">
        <v>44</v>
      </c>
      <c r="E96" s="121"/>
      <c r="F96" s="122" t="s">
        <v>45</v>
      </c>
      <c r="G96" s="11"/>
      <c r="H96" s="121"/>
      <c r="I96" s="123" t="s">
        <v>46</v>
      </c>
      <c r="J96" s="10"/>
      <c r="K96" s="10"/>
      <c r="L96" s="11"/>
      <c r="M96" s="121"/>
      <c r="N96" s="119"/>
      <c r="O96" s="119"/>
      <c r="P96" s="120"/>
      <c r="Q96" s="141"/>
      <c r="R96" s="141"/>
      <c r="S96" s="141"/>
      <c r="T96" s="141"/>
      <c r="U96" s="141"/>
      <c r="V96" s="141"/>
      <c r="W96" s="141"/>
      <c r="X96" s="142"/>
      <c r="Y96" s="142"/>
      <c r="Z96" s="142"/>
    </row>
    <row r="97">
      <c r="A97" s="104"/>
      <c r="B97" s="121"/>
      <c r="C97" s="126">
        <f>IF(ISBLANK($C$9),"",C92+1)</f>
        <v>45754</v>
      </c>
      <c r="D97" s="127"/>
      <c r="E97" s="121"/>
      <c r="F97" s="127" t="str">
        <f>IF(ISNUMBER(F92),F92+1,"")</f>
        <v/>
      </c>
      <c r="G97" s="128"/>
      <c r="H97" s="121"/>
      <c r="I97" s="127">
        <f t="shared" ref="I97:I103" si="29">J97*4+K97*4+L97*9</f>
        <v>0</v>
      </c>
      <c r="J97" s="127"/>
      <c r="K97" s="127"/>
      <c r="L97" s="127"/>
      <c r="M97" s="121"/>
      <c r="N97" s="128"/>
      <c r="O97" s="127"/>
      <c r="P97" s="127"/>
      <c r="Q97" s="97"/>
      <c r="R97" s="97"/>
      <c r="S97" s="97"/>
      <c r="T97" s="97"/>
      <c r="U97" s="97"/>
      <c r="V97" s="97"/>
      <c r="W97" s="97"/>
      <c r="X97" s="142"/>
      <c r="Y97" s="142"/>
      <c r="Z97" s="142"/>
    </row>
    <row r="98">
      <c r="A98" s="104"/>
      <c r="B98" s="121"/>
      <c r="C98" s="132">
        <f t="shared" ref="C98:C103" si="30">IF(ISBLANK($C$9),"",C97+1)</f>
        <v>45755</v>
      </c>
      <c r="D98" s="133"/>
      <c r="E98" s="121"/>
      <c r="F98" s="134" t="str">
        <f t="shared" ref="F98:F103" si="31">IF(ISNUMBER(F97),F97+1,"")</f>
        <v/>
      </c>
      <c r="G98" s="134"/>
      <c r="H98" s="121"/>
      <c r="I98" s="133">
        <f t="shared" si="29"/>
        <v>0</v>
      </c>
      <c r="J98" s="133"/>
      <c r="K98" s="133"/>
      <c r="L98" s="133"/>
      <c r="M98" s="121"/>
      <c r="N98" s="134"/>
      <c r="O98" s="133"/>
      <c r="P98" s="133"/>
      <c r="Q98" s="97"/>
      <c r="R98" s="97"/>
      <c r="S98" s="97"/>
      <c r="T98" s="97"/>
      <c r="U98" s="97"/>
      <c r="V98" s="97"/>
      <c r="W98" s="97"/>
      <c r="X98" s="142"/>
      <c r="Y98" s="142"/>
      <c r="Z98" s="142"/>
    </row>
    <row r="99">
      <c r="A99" s="104"/>
      <c r="B99" s="121"/>
      <c r="C99" s="132">
        <f t="shared" si="30"/>
        <v>45756</v>
      </c>
      <c r="D99" s="133"/>
      <c r="E99" s="121"/>
      <c r="F99" s="134" t="str">
        <f t="shared" si="31"/>
        <v/>
      </c>
      <c r="G99" s="134"/>
      <c r="H99" s="121"/>
      <c r="I99" s="133">
        <f t="shared" si="29"/>
        <v>0</v>
      </c>
      <c r="J99" s="133"/>
      <c r="K99" s="133"/>
      <c r="L99" s="133"/>
      <c r="M99" s="121"/>
      <c r="N99" s="134"/>
      <c r="O99" s="133"/>
      <c r="P99" s="133"/>
      <c r="Q99" s="97"/>
      <c r="R99" s="97"/>
      <c r="S99" s="97"/>
      <c r="T99" s="97"/>
      <c r="U99" s="97"/>
      <c r="V99" s="97"/>
      <c r="W99" s="97"/>
      <c r="X99" s="142"/>
      <c r="Y99" s="142"/>
      <c r="Z99" s="142"/>
    </row>
    <row r="100">
      <c r="A100" s="104"/>
      <c r="B100" s="121"/>
      <c r="C100" s="132">
        <f t="shared" si="30"/>
        <v>45757</v>
      </c>
      <c r="D100" s="133"/>
      <c r="E100" s="121"/>
      <c r="F100" s="134" t="str">
        <f t="shared" si="31"/>
        <v/>
      </c>
      <c r="G100" s="134"/>
      <c r="H100" s="121"/>
      <c r="I100" s="133">
        <f t="shared" si="29"/>
        <v>0</v>
      </c>
      <c r="J100" s="134"/>
      <c r="K100" s="134"/>
      <c r="L100" s="134"/>
      <c r="M100" s="121"/>
      <c r="N100" s="134"/>
      <c r="O100" s="133"/>
      <c r="P100" s="134"/>
      <c r="Q100" s="97"/>
      <c r="R100" s="97"/>
      <c r="S100" s="97"/>
      <c r="T100" s="97"/>
      <c r="U100" s="97"/>
      <c r="V100" s="97"/>
      <c r="W100" s="97"/>
      <c r="X100" s="142"/>
      <c r="Y100" s="142"/>
      <c r="Z100" s="142"/>
    </row>
    <row r="101">
      <c r="A101" s="104"/>
      <c r="B101" s="121"/>
      <c r="C101" s="132">
        <f t="shared" si="30"/>
        <v>45758</v>
      </c>
      <c r="D101" s="133"/>
      <c r="E101" s="121"/>
      <c r="F101" s="134" t="str">
        <f t="shared" si="31"/>
        <v/>
      </c>
      <c r="G101" s="134"/>
      <c r="H101" s="121"/>
      <c r="I101" s="133">
        <f t="shared" si="29"/>
        <v>0</v>
      </c>
      <c r="J101" s="134"/>
      <c r="K101" s="134"/>
      <c r="L101" s="134"/>
      <c r="M101" s="121"/>
      <c r="N101" s="134"/>
      <c r="O101" s="133"/>
      <c r="P101" s="133"/>
      <c r="Q101" s="97"/>
      <c r="R101" s="97"/>
      <c r="S101" s="97"/>
      <c r="T101" s="97"/>
      <c r="U101" s="97"/>
      <c r="V101" s="97"/>
      <c r="W101" s="97"/>
      <c r="X101" s="142"/>
      <c r="Y101" s="142"/>
      <c r="Z101" s="142"/>
    </row>
    <row r="102">
      <c r="A102" s="104"/>
      <c r="B102" s="121"/>
      <c r="C102" s="132">
        <f t="shared" si="30"/>
        <v>45759</v>
      </c>
      <c r="D102" s="133"/>
      <c r="E102" s="121"/>
      <c r="F102" s="134" t="str">
        <f t="shared" si="31"/>
        <v/>
      </c>
      <c r="G102" s="134"/>
      <c r="H102" s="121"/>
      <c r="I102" s="133">
        <f t="shared" si="29"/>
        <v>0</v>
      </c>
      <c r="J102" s="134"/>
      <c r="K102" s="134"/>
      <c r="L102" s="134"/>
      <c r="M102" s="121"/>
      <c r="N102" s="134"/>
      <c r="O102" s="133"/>
      <c r="P102" s="133"/>
      <c r="Q102" s="97"/>
      <c r="R102" s="97"/>
      <c r="S102" s="97"/>
      <c r="T102" s="97"/>
      <c r="U102" s="97"/>
      <c r="V102" s="97"/>
      <c r="W102" s="97"/>
      <c r="X102" s="142"/>
      <c r="Y102" s="142"/>
      <c r="Z102" s="142"/>
    </row>
    <row r="103">
      <c r="A103" s="104"/>
      <c r="B103" s="121"/>
      <c r="C103" s="135">
        <f t="shared" si="30"/>
        <v>45760</v>
      </c>
      <c r="D103" s="136"/>
      <c r="E103" s="121"/>
      <c r="F103" s="137" t="str">
        <f t="shared" si="31"/>
        <v/>
      </c>
      <c r="G103" s="137"/>
      <c r="H103" s="121"/>
      <c r="I103" s="136">
        <f t="shared" si="29"/>
        <v>0</v>
      </c>
      <c r="J103" s="137"/>
      <c r="K103" s="137"/>
      <c r="L103" s="137"/>
      <c r="M103" s="121"/>
      <c r="N103" s="137"/>
      <c r="O103" s="136"/>
      <c r="P103" s="137"/>
      <c r="Q103" s="97"/>
      <c r="R103" s="97"/>
      <c r="S103" s="97"/>
      <c r="T103" s="97"/>
      <c r="U103" s="97"/>
      <c r="V103" s="97"/>
      <c r="W103" s="97"/>
      <c r="X103" s="142"/>
      <c r="Y103" s="142"/>
      <c r="Z103" s="142"/>
    </row>
    <row r="104">
      <c r="A104" s="104"/>
      <c r="B104" s="138"/>
      <c r="C104" s="112" t="s">
        <v>51</v>
      </c>
      <c r="D104" s="116">
        <f>IFERROR(ROUND(AVERAGE(D97:D103),1),0)</f>
        <v>0</v>
      </c>
      <c r="E104" s="138"/>
      <c r="F104" s="115" t="s">
        <v>52</v>
      </c>
      <c r="G104" s="11"/>
      <c r="H104" s="138"/>
      <c r="I104" s="116">
        <f>IFERROR(ROUND(AVERAGEIF(I97:I103,"&lt;&gt;0"),0),0)</f>
        <v>0</v>
      </c>
      <c r="J104" s="116">
        <f t="shared" ref="J104:L104" si="32">IFERROR(ROUND(AVERAGE(J97:J103),0),0)</f>
        <v>0</v>
      </c>
      <c r="K104" s="116">
        <f t="shared" si="32"/>
        <v>0</v>
      </c>
      <c r="L104" s="116">
        <f t="shared" si="32"/>
        <v>0</v>
      </c>
      <c r="M104" s="138"/>
      <c r="N104" s="116">
        <f>IFERROR(ROUND(AVERAGE(N97:N103),0),0)</f>
        <v>0</v>
      </c>
      <c r="O104" s="116">
        <f>IFERROR(SUM(O97:O103),0)</f>
        <v>0</v>
      </c>
      <c r="P104" s="116">
        <f>IFERROR(COUNTA(P97:P103),0)</f>
        <v>0</v>
      </c>
      <c r="Q104" s="97"/>
      <c r="R104" s="97"/>
      <c r="S104" s="97"/>
      <c r="T104" s="97"/>
      <c r="U104" s="97"/>
      <c r="V104" s="97"/>
      <c r="W104" s="97"/>
      <c r="X104" s="142"/>
      <c r="Y104" s="142"/>
      <c r="Z104" s="142"/>
    </row>
    <row r="105">
      <c r="A105" s="97"/>
      <c r="B105" s="109"/>
      <c r="C105" s="97"/>
      <c r="D105" s="98"/>
      <c r="E105" s="140"/>
      <c r="F105" s="140"/>
      <c r="G105" s="140"/>
      <c r="H105" s="140"/>
      <c r="I105" s="140"/>
      <c r="J105" s="140"/>
      <c r="K105" s="140"/>
      <c r="L105" s="140"/>
      <c r="M105" s="140"/>
      <c r="N105" s="98"/>
      <c r="O105" s="98"/>
      <c r="P105" s="98"/>
      <c r="Q105" s="97"/>
      <c r="R105" s="97"/>
      <c r="S105" s="97"/>
      <c r="T105" s="97"/>
      <c r="U105" s="97"/>
      <c r="V105" s="97"/>
      <c r="W105" s="97"/>
      <c r="X105" s="142"/>
      <c r="Y105" s="142"/>
      <c r="Z105" s="142"/>
    </row>
    <row r="106">
      <c r="A106" s="97"/>
      <c r="B106" s="112" t="s">
        <v>30</v>
      </c>
      <c r="C106" s="112" t="s">
        <v>31</v>
      </c>
      <c r="D106" s="113" t="s">
        <v>120</v>
      </c>
      <c r="E106" s="114" t="s">
        <v>33</v>
      </c>
      <c r="F106" s="115" t="s">
        <v>121</v>
      </c>
      <c r="G106" s="11"/>
      <c r="H106" s="114" t="s">
        <v>35</v>
      </c>
      <c r="I106" s="113" t="s">
        <v>122</v>
      </c>
      <c r="J106" s="113" t="s">
        <v>123</v>
      </c>
      <c r="K106" s="113" t="s">
        <v>124</v>
      </c>
      <c r="L106" s="113" t="s">
        <v>125</v>
      </c>
      <c r="M106" s="114" t="s">
        <v>40</v>
      </c>
      <c r="N106" s="113" t="s">
        <v>25</v>
      </c>
      <c r="O106" s="116" t="s">
        <v>126</v>
      </c>
      <c r="P106" s="113" t="s">
        <v>127</v>
      </c>
      <c r="Q106" s="97"/>
      <c r="R106" s="97"/>
      <c r="S106" s="97"/>
      <c r="T106" s="97"/>
      <c r="U106" s="97"/>
      <c r="V106" s="97"/>
      <c r="W106" s="97"/>
      <c r="X106" s="142"/>
      <c r="Y106" s="142"/>
      <c r="Z106" s="142"/>
    </row>
    <row r="107">
      <c r="A107" s="104"/>
      <c r="B107" s="118">
        <f>B96+1</f>
        <v>10</v>
      </c>
      <c r="C107" s="119" t="s">
        <v>43</v>
      </c>
      <c r="D107" s="120" t="s">
        <v>44</v>
      </c>
      <c r="E107" s="121"/>
      <c r="F107" s="122" t="s">
        <v>45</v>
      </c>
      <c r="G107" s="11"/>
      <c r="H107" s="121"/>
      <c r="I107" s="123" t="s">
        <v>46</v>
      </c>
      <c r="J107" s="10"/>
      <c r="K107" s="10"/>
      <c r="L107" s="11"/>
      <c r="M107" s="121"/>
      <c r="N107" s="119"/>
      <c r="O107" s="119"/>
      <c r="P107" s="120"/>
      <c r="Q107" s="141"/>
      <c r="R107" s="141"/>
      <c r="S107" s="141"/>
      <c r="T107" s="141"/>
      <c r="U107" s="141"/>
      <c r="V107" s="141"/>
      <c r="W107" s="141"/>
      <c r="X107" s="142"/>
      <c r="Y107" s="142"/>
      <c r="Z107" s="142"/>
    </row>
    <row r="108">
      <c r="A108" s="104"/>
      <c r="B108" s="121"/>
      <c r="C108" s="126">
        <f>IF(ISBLANK($C$9),"",C103+1)</f>
        <v>45761</v>
      </c>
      <c r="D108" s="127"/>
      <c r="E108" s="121"/>
      <c r="F108" s="127" t="str">
        <f>IF(ISNUMBER(F103),F103+1,"")</f>
        <v/>
      </c>
      <c r="G108" s="128"/>
      <c r="H108" s="121"/>
      <c r="I108" s="127">
        <f t="shared" ref="I108:I114" si="33">J108*4+K108*4+L108*9</f>
        <v>0</v>
      </c>
      <c r="J108" s="127"/>
      <c r="K108" s="127"/>
      <c r="L108" s="127"/>
      <c r="M108" s="121"/>
      <c r="N108" s="128"/>
      <c r="O108" s="127"/>
      <c r="P108" s="127"/>
      <c r="Q108" s="97"/>
      <c r="R108" s="97"/>
      <c r="S108" s="97"/>
      <c r="T108" s="97"/>
      <c r="U108" s="97"/>
      <c r="V108" s="97"/>
      <c r="W108" s="97"/>
      <c r="X108" s="142"/>
      <c r="Y108" s="142"/>
      <c r="Z108" s="142"/>
    </row>
    <row r="109">
      <c r="A109" s="104"/>
      <c r="B109" s="121"/>
      <c r="C109" s="132">
        <f t="shared" ref="C109:C114" si="34">IF(ISBLANK($C$9),"",C108+1)</f>
        <v>45762</v>
      </c>
      <c r="D109" s="133"/>
      <c r="E109" s="121"/>
      <c r="F109" s="134" t="str">
        <f t="shared" ref="F109:F114" si="35">IF(ISNUMBER(F108),F108+1,"")</f>
        <v/>
      </c>
      <c r="G109" s="134"/>
      <c r="H109" s="121"/>
      <c r="I109" s="133">
        <f t="shared" si="33"/>
        <v>0</v>
      </c>
      <c r="J109" s="133"/>
      <c r="K109" s="133"/>
      <c r="L109" s="133"/>
      <c r="M109" s="121"/>
      <c r="N109" s="134"/>
      <c r="O109" s="133"/>
      <c r="P109" s="133"/>
      <c r="Q109" s="97"/>
      <c r="R109" s="97"/>
      <c r="S109" s="97"/>
      <c r="T109" s="97"/>
      <c r="U109" s="97"/>
      <c r="V109" s="97"/>
      <c r="W109" s="97"/>
      <c r="X109" s="142"/>
      <c r="Y109" s="142"/>
      <c r="Z109" s="142"/>
    </row>
    <row r="110">
      <c r="A110" s="104"/>
      <c r="B110" s="121"/>
      <c r="C110" s="132">
        <f t="shared" si="34"/>
        <v>45763</v>
      </c>
      <c r="D110" s="133"/>
      <c r="E110" s="121"/>
      <c r="F110" s="134" t="str">
        <f t="shared" si="35"/>
        <v/>
      </c>
      <c r="G110" s="134"/>
      <c r="H110" s="121"/>
      <c r="I110" s="133">
        <f t="shared" si="33"/>
        <v>0</v>
      </c>
      <c r="J110" s="133"/>
      <c r="K110" s="133"/>
      <c r="L110" s="133"/>
      <c r="M110" s="121"/>
      <c r="N110" s="134"/>
      <c r="O110" s="133"/>
      <c r="P110" s="133"/>
      <c r="Q110" s="97"/>
      <c r="R110" s="97"/>
      <c r="S110" s="97"/>
      <c r="T110" s="97"/>
      <c r="U110" s="97"/>
      <c r="V110" s="97"/>
      <c r="W110" s="97"/>
      <c r="X110" s="142"/>
      <c r="Y110" s="142"/>
      <c r="Z110" s="142"/>
    </row>
    <row r="111">
      <c r="A111" s="104"/>
      <c r="B111" s="121"/>
      <c r="C111" s="132">
        <f t="shared" si="34"/>
        <v>45764</v>
      </c>
      <c r="D111" s="133"/>
      <c r="E111" s="121"/>
      <c r="F111" s="134" t="str">
        <f t="shared" si="35"/>
        <v/>
      </c>
      <c r="G111" s="134"/>
      <c r="H111" s="121"/>
      <c r="I111" s="133">
        <f t="shared" si="33"/>
        <v>0</v>
      </c>
      <c r="J111" s="134"/>
      <c r="K111" s="134"/>
      <c r="L111" s="134"/>
      <c r="M111" s="121"/>
      <c r="N111" s="134"/>
      <c r="O111" s="133"/>
      <c r="P111" s="134"/>
      <c r="Q111" s="97"/>
      <c r="R111" s="97"/>
      <c r="S111" s="97"/>
      <c r="T111" s="97"/>
      <c r="U111" s="97"/>
      <c r="V111" s="97"/>
      <c r="W111" s="97"/>
      <c r="X111" s="142"/>
      <c r="Y111" s="142"/>
      <c r="Z111" s="142"/>
    </row>
    <row r="112">
      <c r="A112" s="104"/>
      <c r="B112" s="121"/>
      <c r="C112" s="132">
        <f t="shared" si="34"/>
        <v>45765</v>
      </c>
      <c r="D112" s="133"/>
      <c r="E112" s="121"/>
      <c r="F112" s="134" t="str">
        <f t="shared" si="35"/>
        <v/>
      </c>
      <c r="G112" s="134"/>
      <c r="H112" s="121"/>
      <c r="I112" s="133">
        <f t="shared" si="33"/>
        <v>0</v>
      </c>
      <c r="J112" s="134"/>
      <c r="K112" s="134"/>
      <c r="L112" s="134"/>
      <c r="M112" s="121"/>
      <c r="N112" s="134"/>
      <c r="O112" s="133"/>
      <c r="P112" s="133"/>
      <c r="Q112" s="97"/>
      <c r="R112" s="97"/>
      <c r="S112" s="97"/>
      <c r="T112" s="97"/>
      <c r="U112" s="97"/>
      <c r="V112" s="97"/>
      <c r="W112" s="97"/>
      <c r="X112" s="142"/>
      <c r="Y112" s="142"/>
      <c r="Z112" s="142"/>
    </row>
    <row r="113">
      <c r="A113" s="104"/>
      <c r="B113" s="121"/>
      <c r="C113" s="132">
        <f t="shared" si="34"/>
        <v>45766</v>
      </c>
      <c r="D113" s="133"/>
      <c r="E113" s="121"/>
      <c r="F113" s="134" t="str">
        <f t="shared" si="35"/>
        <v/>
      </c>
      <c r="G113" s="134"/>
      <c r="H113" s="121"/>
      <c r="I113" s="133">
        <f t="shared" si="33"/>
        <v>0</v>
      </c>
      <c r="J113" s="134"/>
      <c r="K113" s="134"/>
      <c r="L113" s="134"/>
      <c r="M113" s="121"/>
      <c r="N113" s="134"/>
      <c r="O113" s="133"/>
      <c r="P113" s="133"/>
      <c r="Q113" s="97"/>
      <c r="R113" s="97"/>
      <c r="S113" s="97"/>
      <c r="T113" s="97"/>
      <c r="U113" s="97"/>
      <c r="V113" s="97"/>
      <c r="W113" s="97"/>
      <c r="X113" s="142"/>
      <c r="Y113" s="142"/>
      <c r="Z113" s="142"/>
    </row>
    <row r="114">
      <c r="A114" s="104"/>
      <c r="B114" s="121"/>
      <c r="C114" s="135">
        <f t="shared" si="34"/>
        <v>45767</v>
      </c>
      <c r="D114" s="136"/>
      <c r="E114" s="121"/>
      <c r="F114" s="137" t="str">
        <f t="shared" si="35"/>
        <v/>
      </c>
      <c r="G114" s="137"/>
      <c r="H114" s="121"/>
      <c r="I114" s="136">
        <f t="shared" si="33"/>
        <v>0</v>
      </c>
      <c r="J114" s="137"/>
      <c r="K114" s="137"/>
      <c r="L114" s="137"/>
      <c r="M114" s="121"/>
      <c r="N114" s="137"/>
      <c r="O114" s="136"/>
      <c r="P114" s="137"/>
      <c r="Q114" s="97"/>
      <c r="R114" s="97"/>
      <c r="S114" s="97"/>
      <c r="T114" s="97"/>
      <c r="U114" s="97"/>
      <c r="V114" s="97"/>
      <c r="W114" s="97"/>
      <c r="X114" s="142"/>
      <c r="Y114" s="142"/>
      <c r="Z114" s="142"/>
    </row>
    <row r="115">
      <c r="A115" s="104"/>
      <c r="B115" s="138"/>
      <c r="C115" s="112" t="s">
        <v>51</v>
      </c>
      <c r="D115" s="116">
        <f>IFERROR(ROUND(AVERAGE(D108:D114),1),0)</f>
        <v>0</v>
      </c>
      <c r="E115" s="138"/>
      <c r="F115" s="115" t="s">
        <v>52</v>
      </c>
      <c r="G115" s="11"/>
      <c r="H115" s="138"/>
      <c r="I115" s="116">
        <f>IFERROR(ROUND(AVERAGEIF(I108:I114,"&lt;&gt;0"),0),0)</f>
        <v>0</v>
      </c>
      <c r="J115" s="116">
        <f t="shared" ref="J115:L115" si="36">IFERROR(ROUND(AVERAGE(J108:J114),0),0)</f>
        <v>0</v>
      </c>
      <c r="K115" s="116">
        <f t="shared" si="36"/>
        <v>0</v>
      </c>
      <c r="L115" s="116">
        <f t="shared" si="36"/>
        <v>0</v>
      </c>
      <c r="M115" s="138"/>
      <c r="N115" s="116">
        <f>IFERROR(ROUND(AVERAGE(N108:N114),0),0)</f>
        <v>0</v>
      </c>
      <c r="O115" s="116">
        <f>IFERROR(SUM(O108:O114),0)</f>
        <v>0</v>
      </c>
      <c r="P115" s="116">
        <f>IFERROR(COUNTA(P108:P114),0)</f>
        <v>0</v>
      </c>
      <c r="Q115" s="97"/>
      <c r="R115" s="97"/>
      <c r="S115" s="97"/>
      <c r="T115" s="97"/>
      <c r="U115" s="97"/>
      <c r="V115" s="97"/>
      <c r="W115" s="97"/>
      <c r="X115" s="142"/>
      <c r="Y115" s="142"/>
      <c r="Z115" s="142"/>
    </row>
    <row r="116">
      <c r="A116" s="97"/>
      <c r="B116" s="109"/>
      <c r="C116" s="97"/>
      <c r="D116" s="98"/>
      <c r="E116" s="140"/>
      <c r="F116" s="140"/>
      <c r="G116" s="140"/>
      <c r="H116" s="140"/>
      <c r="I116" s="140"/>
      <c r="J116" s="140"/>
      <c r="K116" s="140"/>
      <c r="L116" s="140"/>
      <c r="M116" s="140"/>
      <c r="N116" s="98"/>
      <c r="O116" s="98"/>
      <c r="P116" s="98"/>
      <c r="Q116" s="97"/>
      <c r="R116" s="97"/>
      <c r="S116" s="97"/>
      <c r="T116" s="97"/>
      <c r="U116" s="97"/>
      <c r="V116" s="97"/>
      <c r="W116" s="97"/>
      <c r="X116" s="142"/>
      <c r="Y116" s="142"/>
      <c r="Z116" s="142"/>
    </row>
    <row r="117">
      <c r="A117" s="97"/>
      <c r="B117" s="112" t="s">
        <v>30</v>
      </c>
      <c r="C117" s="112" t="s">
        <v>31</v>
      </c>
      <c r="D117" s="113" t="s">
        <v>128</v>
      </c>
      <c r="E117" s="114" t="s">
        <v>33</v>
      </c>
      <c r="F117" s="115" t="s">
        <v>129</v>
      </c>
      <c r="G117" s="11"/>
      <c r="H117" s="114" t="s">
        <v>35</v>
      </c>
      <c r="I117" s="113" t="s">
        <v>130</v>
      </c>
      <c r="J117" s="113" t="s">
        <v>131</v>
      </c>
      <c r="K117" s="113" t="s">
        <v>132</v>
      </c>
      <c r="L117" s="113" t="s">
        <v>133</v>
      </c>
      <c r="M117" s="114" t="s">
        <v>40</v>
      </c>
      <c r="N117" s="113" t="s">
        <v>25</v>
      </c>
      <c r="O117" s="116" t="s">
        <v>134</v>
      </c>
      <c r="P117" s="113" t="s">
        <v>135</v>
      </c>
      <c r="Q117" s="97"/>
      <c r="R117" s="97"/>
      <c r="S117" s="97"/>
      <c r="T117" s="97"/>
      <c r="U117" s="97"/>
      <c r="V117" s="97"/>
      <c r="W117" s="97"/>
      <c r="X117" s="142"/>
      <c r="Y117" s="142"/>
      <c r="Z117" s="142"/>
    </row>
    <row r="118">
      <c r="A118" s="104"/>
      <c r="B118" s="118">
        <f>B107+1</f>
        <v>11</v>
      </c>
      <c r="C118" s="119" t="s">
        <v>43</v>
      </c>
      <c r="D118" s="120" t="s">
        <v>44</v>
      </c>
      <c r="E118" s="121"/>
      <c r="F118" s="122" t="s">
        <v>45</v>
      </c>
      <c r="G118" s="11"/>
      <c r="H118" s="121"/>
      <c r="I118" s="123" t="s">
        <v>46</v>
      </c>
      <c r="J118" s="10"/>
      <c r="K118" s="10"/>
      <c r="L118" s="11"/>
      <c r="M118" s="121"/>
      <c r="N118" s="119"/>
      <c r="O118" s="119"/>
      <c r="P118" s="120"/>
      <c r="Q118" s="141"/>
      <c r="R118" s="141"/>
      <c r="S118" s="141"/>
      <c r="T118" s="141"/>
      <c r="U118" s="141"/>
      <c r="V118" s="141"/>
      <c r="W118" s="141"/>
      <c r="X118" s="142"/>
      <c r="Y118" s="142"/>
      <c r="Z118" s="142"/>
    </row>
    <row r="119">
      <c r="A119" s="104"/>
      <c r="B119" s="121"/>
      <c r="C119" s="126">
        <f>IF(ISBLANK($C$9),"",C114+1)</f>
        <v>45768</v>
      </c>
      <c r="D119" s="127"/>
      <c r="E119" s="121"/>
      <c r="F119" s="127" t="str">
        <f>IF(ISNUMBER(F114),F114+1,"")</f>
        <v/>
      </c>
      <c r="G119" s="128"/>
      <c r="H119" s="121"/>
      <c r="I119" s="127">
        <f t="shared" ref="I119:I125" si="37">J119*4+K119*4+L119*9</f>
        <v>0</v>
      </c>
      <c r="J119" s="127"/>
      <c r="K119" s="127"/>
      <c r="L119" s="127"/>
      <c r="M119" s="121"/>
      <c r="N119" s="128"/>
      <c r="O119" s="127"/>
      <c r="P119" s="127"/>
      <c r="Q119" s="97"/>
      <c r="R119" s="97"/>
      <c r="S119" s="97"/>
      <c r="T119" s="97"/>
      <c r="U119" s="97"/>
      <c r="V119" s="97"/>
      <c r="W119" s="97"/>
      <c r="X119" s="142"/>
      <c r="Y119" s="142"/>
      <c r="Z119" s="142"/>
    </row>
    <row r="120">
      <c r="A120" s="104"/>
      <c r="B120" s="121"/>
      <c r="C120" s="132">
        <f t="shared" ref="C120:C125" si="38">IF(ISBLANK($C$9),"",C119+1)</f>
        <v>45769</v>
      </c>
      <c r="D120" s="133"/>
      <c r="E120" s="121"/>
      <c r="F120" s="134" t="str">
        <f t="shared" ref="F120:F125" si="39">IF(ISNUMBER(F119),F119+1,"")</f>
        <v/>
      </c>
      <c r="G120" s="134"/>
      <c r="H120" s="121"/>
      <c r="I120" s="133">
        <f t="shared" si="37"/>
        <v>0</v>
      </c>
      <c r="J120" s="133"/>
      <c r="K120" s="133"/>
      <c r="L120" s="133"/>
      <c r="M120" s="121"/>
      <c r="N120" s="134"/>
      <c r="O120" s="133"/>
      <c r="P120" s="133"/>
      <c r="Q120" s="97"/>
      <c r="R120" s="97"/>
      <c r="S120" s="97"/>
      <c r="T120" s="97"/>
      <c r="U120" s="97"/>
      <c r="V120" s="97"/>
      <c r="W120" s="97"/>
      <c r="X120" s="142"/>
      <c r="Y120" s="142"/>
      <c r="Z120" s="142"/>
    </row>
    <row r="121">
      <c r="A121" s="104"/>
      <c r="B121" s="121"/>
      <c r="C121" s="132">
        <f t="shared" si="38"/>
        <v>45770</v>
      </c>
      <c r="D121" s="133"/>
      <c r="E121" s="121"/>
      <c r="F121" s="134" t="str">
        <f t="shared" si="39"/>
        <v/>
      </c>
      <c r="G121" s="134"/>
      <c r="H121" s="121"/>
      <c r="I121" s="133">
        <f t="shared" si="37"/>
        <v>0</v>
      </c>
      <c r="J121" s="133"/>
      <c r="K121" s="133"/>
      <c r="L121" s="133"/>
      <c r="M121" s="121"/>
      <c r="N121" s="134"/>
      <c r="O121" s="133"/>
      <c r="P121" s="133"/>
      <c r="Q121" s="97"/>
      <c r="R121" s="97"/>
      <c r="S121" s="97"/>
      <c r="T121" s="97"/>
      <c r="U121" s="97"/>
      <c r="V121" s="97"/>
      <c r="W121" s="97"/>
      <c r="X121" s="142"/>
      <c r="Y121" s="142"/>
      <c r="Z121" s="142"/>
    </row>
    <row r="122">
      <c r="A122" s="104"/>
      <c r="B122" s="121"/>
      <c r="C122" s="132">
        <f t="shared" si="38"/>
        <v>45771</v>
      </c>
      <c r="D122" s="133"/>
      <c r="E122" s="121"/>
      <c r="F122" s="134" t="str">
        <f t="shared" si="39"/>
        <v/>
      </c>
      <c r="G122" s="134"/>
      <c r="H122" s="121"/>
      <c r="I122" s="133">
        <f t="shared" si="37"/>
        <v>0</v>
      </c>
      <c r="J122" s="134"/>
      <c r="K122" s="134"/>
      <c r="L122" s="134"/>
      <c r="M122" s="121"/>
      <c r="N122" s="134"/>
      <c r="O122" s="133"/>
      <c r="P122" s="134"/>
      <c r="Q122" s="97"/>
      <c r="R122" s="97"/>
      <c r="S122" s="97"/>
      <c r="T122" s="97"/>
      <c r="U122" s="97"/>
      <c r="V122" s="97"/>
      <c r="W122" s="97"/>
      <c r="X122" s="142"/>
      <c r="Y122" s="142"/>
      <c r="Z122" s="142"/>
    </row>
    <row r="123">
      <c r="A123" s="104"/>
      <c r="B123" s="121"/>
      <c r="C123" s="132">
        <f t="shared" si="38"/>
        <v>45772</v>
      </c>
      <c r="D123" s="133"/>
      <c r="E123" s="121"/>
      <c r="F123" s="134" t="str">
        <f t="shared" si="39"/>
        <v/>
      </c>
      <c r="G123" s="134"/>
      <c r="H123" s="121"/>
      <c r="I123" s="133">
        <f t="shared" si="37"/>
        <v>0</v>
      </c>
      <c r="J123" s="134"/>
      <c r="K123" s="134"/>
      <c r="L123" s="134"/>
      <c r="M123" s="121"/>
      <c r="N123" s="134"/>
      <c r="O123" s="133"/>
      <c r="P123" s="133"/>
      <c r="Q123" s="97"/>
      <c r="R123" s="97"/>
      <c r="S123" s="97"/>
      <c r="T123" s="97"/>
      <c r="U123" s="97"/>
      <c r="V123" s="97"/>
      <c r="W123" s="97"/>
      <c r="X123" s="142"/>
      <c r="Y123" s="142"/>
      <c r="Z123" s="142"/>
    </row>
    <row r="124">
      <c r="A124" s="104"/>
      <c r="B124" s="121"/>
      <c r="C124" s="132">
        <f t="shared" si="38"/>
        <v>45773</v>
      </c>
      <c r="D124" s="133"/>
      <c r="E124" s="121"/>
      <c r="F124" s="134" t="str">
        <f t="shared" si="39"/>
        <v/>
      </c>
      <c r="G124" s="134"/>
      <c r="H124" s="121"/>
      <c r="I124" s="133">
        <f t="shared" si="37"/>
        <v>0</v>
      </c>
      <c r="J124" s="134"/>
      <c r="K124" s="134"/>
      <c r="L124" s="134"/>
      <c r="M124" s="121"/>
      <c r="N124" s="134"/>
      <c r="O124" s="133"/>
      <c r="P124" s="133"/>
      <c r="Q124" s="97"/>
      <c r="R124" s="97"/>
      <c r="S124" s="97"/>
      <c r="T124" s="97"/>
      <c r="U124" s="97"/>
      <c r="V124" s="97"/>
      <c r="W124" s="97"/>
      <c r="X124" s="142"/>
      <c r="Y124" s="142"/>
      <c r="Z124" s="142"/>
    </row>
    <row r="125">
      <c r="A125" s="104"/>
      <c r="B125" s="121"/>
      <c r="C125" s="135">
        <f t="shared" si="38"/>
        <v>45774</v>
      </c>
      <c r="D125" s="136"/>
      <c r="E125" s="121"/>
      <c r="F125" s="137" t="str">
        <f t="shared" si="39"/>
        <v/>
      </c>
      <c r="G125" s="137"/>
      <c r="H125" s="121"/>
      <c r="I125" s="136">
        <f t="shared" si="37"/>
        <v>0</v>
      </c>
      <c r="J125" s="137"/>
      <c r="K125" s="137"/>
      <c r="L125" s="137"/>
      <c r="M125" s="121"/>
      <c r="N125" s="137"/>
      <c r="O125" s="136"/>
      <c r="P125" s="137"/>
      <c r="Q125" s="97"/>
      <c r="R125" s="97"/>
      <c r="S125" s="97"/>
      <c r="T125" s="97"/>
      <c r="U125" s="97"/>
      <c r="V125" s="97"/>
      <c r="W125" s="97"/>
      <c r="X125" s="142"/>
      <c r="Y125" s="142"/>
      <c r="Z125" s="142"/>
    </row>
    <row r="126">
      <c r="A126" s="104"/>
      <c r="B126" s="138"/>
      <c r="C126" s="112" t="s">
        <v>51</v>
      </c>
      <c r="D126" s="116">
        <f>IFERROR(ROUND(AVERAGE(D119:D125),1),0)</f>
        <v>0</v>
      </c>
      <c r="E126" s="138"/>
      <c r="F126" s="115" t="s">
        <v>52</v>
      </c>
      <c r="G126" s="11"/>
      <c r="H126" s="138"/>
      <c r="I126" s="116">
        <f>IFERROR(ROUND(AVERAGEIF(I119:I125,"&lt;&gt;0"),0),0)</f>
        <v>0</v>
      </c>
      <c r="J126" s="116">
        <f t="shared" ref="J126:L126" si="40">IFERROR(ROUND(AVERAGE(J119:J125),0),0)</f>
        <v>0</v>
      </c>
      <c r="K126" s="116">
        <f t="shared" si="40"/>
        <v>0</v>
      </c>
      <c r="L126" s="116">
        <f t="shared" si="40"/>
        <v>0</v>
      </c>
      <c r="M126" s="138"/>
      <c r="N126" s="116">
        <f>IFERROR(ROUND(AVERAGE(N119:N125),0),0)</f>
        <v>0</v>
      </c>
      <c r="O126" s="116">
        <f>IFERROR(SUM(O119:O125),0)</f>
        <v>0</v>
      </c>
      <c r="P126" s="116">
        <f>IFERROR(COUNTA(P119:P125),0)</f>
        <v>0</v>
      </c>
      <c r="Q126" s="97"/>
      <c r="R126" s="97"/>
      <c r="S126" s="97"/>
      <c r="T126" s="97"/>
      <c r="U126" s="97"/>
      <c r="V126" s="97"/>
      <c r="W126" s="97"/>
      <c r="X126" s="142"/>
      <c r="Y126" s="142"/>
      <c r="Z126" s="142"/>
    </row>
    <row r="127">
      <c r="A127" s="97"/>
      <c r="B127" s="109"/>
      <c r="C127" s="97"/>
      <c r="D127" s="98"/>
      <c r="E127" s="140"/>
      <c r="F127" s="140"/>
      <c r="G127" s="140"/>
      <c r="H127" s="140"/>
      <c r="I127" s="140"/>
      <c r="J127" s="140"/>
      <c r="K127" s="140"/>
      <c r="L127" s="140"/>
      <c r="M127" s="140"/>
      <c r="N127" s="98"/>
      <c r="O127" s="98"/>
      <c r="P127" s="98"/>
      <c r="Q127" s="97"/>
      <c r="R127" s="97"/>
      <c r="S127" s="97"/>
      <c r="T127" s="97"/>
      <c r="U127" s="97"/>
      <c r="V127" s="97"/>
      <c r="W127" s="97"/>
      <c r="X127" s="142"/>
      <c r="Y127" s="142"/>
      <c r="Z127" s="142"/>
    </row>
    <row r="128">
      <c r="A128" s="97"/>
      <c r="B128" s="112" t="s">
        <v>30</v>
      </c>
      <c r="C128" s="112" t="s">
        <v>31</v>
      </c>
      <c r="D128" s="113" t="s">
        <v>136</v>
      </c>
      <c r="E128" s="114" t="s">
        <v>33</v>
      </c>
      <c r="F128" s="115" t="s">
        <v>137</v>
      </c>
      <c r="G128" s="11"/>
      <c r="H128" s="114" t="s">
        <v>35</v>
      </c>
      <c r="I128" s="113" t="s">
        <v>138</v>
      </c>
      <c r="J128" s="113" t="s">
        <v>139</v>
      </c>
      <c r="K128" s="113" t="s">
        <v>140</v>
      </c>
      <c r="L128" s="113" t="s">
        <v>141</v>
      </c>
      <c r="M128" s="114" t="s">
        <v>40</v>
      </c>
      <c r="N128" s="113" t="s">
        <v>25</v>
      </c>
      <c r="O128" s="116" t="s">
        <v>142</v>
      </c>
      <c r="P128" s="113" t="s">
        <v>143</v>
      </c>
      <c r="Q128" s="97"/>
      <c r="R128" s="97"/>
      <c r="S128" s="97"/>
      <c r="T128" s="97"/>
      <c r="U128" s="97"/>
      <c r="V128" s="97"/>
      <c r="W128" s="97"/>
      <c r="X128" s="142"/>
      <c r="Y128" s="142"/>
      <c r="Z128" s="142"/>
    </row>
    <row r="129">
      <c r="A129" s="104"/>
      <c r="B129" s="118">
        <f>B118+1</f>
        <v>12</v>
      </c>
      <c r="C129" s="119" t="s">
        <v>43</v>
      </c>
      <c r="D129" s="120" t="s">
        <v>44</v>
      </c>
      <c r="E129" s="121"/>
      <c r="F129" s="122" t="s">
        <v>45</v>
      </c>
      <c r="G129" s="11"/>
      <c r="H129" s="121"/>
      <c r="I129" s="123" t="s">
        <v>46</v>
      </c>
      <c r="J129" s="10"/>
      <c r="K129" s="10"/>
      <c r="L129" s="11"/>
      <c r="M129" s="121"/>
      <c r="N129" s="119"/>
      <c r="O129" s="119"/>
      <c r="P129" s="120"/>
      <c r="Q129" s="141"/>
      <c r="R129" s="141"/>
      <c r="S129" s="141"/>
      <c r="T129" s="141"/>
      <c r="U129" s="141"/>
      <c r="V129" s="141"/>
      <c r="W129" s="141"/>
      <c r="X129" s="142"/>
      <c r="Y129" s="142"/>
      <c r="Z129" s="142"/>
    </row>
    <row r="130">
      <c r="A130" s="104"/>
      <c r="B130" s="121"/>
      <c r="C130" s="126">
        <f>IF(ISBLANK($C$9),"",C125+1)</f>
        <v>45775</v>
      </c>
      <c r="D130" s="127"/>
      <c r="E130" s="121"/>
      <c r="F130" s="127" t="str">
        <f>IF(ISNUMBER(F125),F125+1,"")</f>
        <v/>
      </c>
      <c r="G130" s="128"/>
      <c r="H130" s="121"/>
      <c r="I130" s="127">
        <f t="shared" ref="I130:I136" si="41">J130*4+K130*4+L130*9</f>
        <v>0</v>
      </c>
      <c r="J130" s="127"/>
      <c r="K130" s="127"/>
      <c r="L130" s="127"/>
      <c r="M130" s="121"/>
      <c r="N130" s="128"/>
      <c r="O130" s="127"/>
      <c r="P130" s="127"/>
      <c r="Q130" s="97"/>
      <c r="R130" s="97"/>
      <c r="S130" s="97"/>
      <c r="T130" s="97"/>
      <c r="U130" s="97"/>
      <c r="V130" s="97"/>
      <c r="W130" s="97"/>
      <c r="X130" s="142"/>
      <c r="Y130" s="142"/>
      <c r="Z130" s="142"/>
    </row>
    <row r="131">
      <c r="A131" s="104"/>
      <c r="B131" s="121"/>
      <c r="C131" s="132">
        <f t="shared" ref="C131:C136" si="42">IF(ISBLANK($C$9),"",C130+1)</f>
        <v>45776</v>
      </c>
      <c r="D131" s="133"/>
      <c r="E131" s="121"/>
      <c r="F131" s="134" t="str">
        <f t="shared" ref="F131:F136" si="43">IF(ISNUMBER(F130),F130+1,"")</f>
        <v/>
      </c>
      <c r="G131" s="134"/>
      <c r="H131" s="121"/>
      <c r="I131" s="133">
        <f t="shared" si="41"/>
        <v>0</v>
      </c>
      <c r="J131" s="133"/>
      <c r="K131" s="133"/>
      <c r="L131" s="133"/>
      <c r="M131" s="121"/>
      <c r="N131" s="134"/>
      <c r="O131" s="133"/>
      <c r="P131" s="133"/>
      <c r="Q131" s="97"/>
      <c r="R131" s="97"/>
      <c r="S131" s="97"/>
      <c r="T131" s="97"/>
      <c r="U131" s="97"/>
      <c r="V131" s="97"/>
      <c r="W131" s="97"/>
      <c r="X131" s="142"/>
      <c r="Y131" s="142"/>
      <c r="Z131" s="142"/>
    </row>
    <row r="132">
      <c r="A132" s="104"/>
      <c r="B132" s="121"/>
      <c r="C132" s="132">
        <f t="shared" si="42"/>
        <v>45777</v>
      </c>
      <c r="D132" s="133"/>
      <c r="E132" s="121"/>
      <c r="F132" s="134" t="str">
        <f t="shared" si="43"/>
        <v/>
      </c>
      <c r="G132" s="134"/>
      <c r="H132" s="121"/>
      <c r="I132" s="133">
        <f t="shared" si="41"/>
        <v>0</v>
      </c>
      <c r="J132" s="133"/>
      <c r="K132" s="133"/>
      <c r="L132" s="133"/>
      <c r="M132" s="121"/>
      <c r="N132" s="134"/>
      <c r="O132" s="133"/>
      <c r="P132" s="133"/>
      <c r="Q132" s="97"/>
      <c r="R132" s="97"/>
      <c r="S132" s="97"/>
      <c r="T132" s="97"/>
      <c r="U132" s="97"/>
      <c r="V132" s="97"/>
      <c r="W132" s="97"/>
      <c r="X132" s="142"/>
      <c r="Y132" s="142"/>
      <c r="Z132" s="142"/>
    </row>
    <row r="133">
      <c r="A133" s="104"/>
      <c r="B133" s="121"/>
      <c r="C133" s="132">
        <f t="shared" si="42"/>
        <v>45778</v>
      </c>
      <c r="D133" s="133"/>
      <c r="E133" s="121"/>
      <c r="F133" s="134" t="str">
        <f t="shared" si="43"/>
        <v/>
      </c>
      <c r="G133" s="134"/>
      <c r="H133" s="121"/>
      <c r="I133" s="133">
        <f t="shared" si="41"/>
        <v>0</v>
      </c>
      <c r="J133" s="134"/>
      <c r="K133" s="134"/>
      <c r="L133" s="134"/>
      <c r="M133" s="121"/>
      <c r="N133" s="134"/>
      <c r="O133" s="133"/>
      <c r="P133" s="134"/>
      <c r="Q133" s="97"/>
      <c r="R133" s="97"/>
      <c r="S133" s="97"/>
      <c r="T133" s="97"/>
      <c r="U133" s="97"/>
      <c r="V133" s="97"/>
      <c r="W133" s="97"/>
      <c r="X133" s="142"/>
      <c r="Y133" s="142"/>
      <c r="Z133" s="142"/>
    </row>
    <row r="134">
      <c r="A134" s="104"/>
      <c r="B134" s="121"/>
      <c r="C134" s="132">
        <f t="shared" si="42"/>
        <v>45779</v>
      </c>
      <c r="D134" s="133"/>
      <c r="E134" s="121"/>
      <c r="F134" s="134" t="str">
        <f t="shared" si="43"/>
        <v/>
      </c>
      <c r="G134" s="134"/>
      <c r="H134" s="121"/>
      <c r="I134" s="133">
        <f t="shared" si="41"/>
        <v>0</v>
      </c>
      <c r="J134" s="134"/>
      <c r="K134" s="134"/>
      <c r="L134" s="134"/>
      <c r="M134" s="121"/>
      <c r="N134" s="134"/>
      <c r="O134" s="133"/>
      <c r="P134" s="133"/>
      <c r="Q134" s="97"/>
      <c r="R134" s="97"/>
      <c r="S134" s="97"/>
      <c r="T134" s="97"/>
      <c r="U134" s="97"/>
      <c r="V134" s="97"/>
      <c r="W134" s="97"/>
      <c r="X134" s="142"/>
      <c r="Y134" s="142"/>
      <c r="Z134" s="142"/>
    </row>
    <row r="135">
      <c r="A135" s="104"/>
      <c r="B135" s="121"/>
      <c r="C135" s="132">
        <f t="shared" si="42"/>
        <v>45780</v>
      </c>
      <c r="D135" s="133"/>
      <c r="E135" s="121"/>
      <c r="F135" s="134" t="str">
        <f t="shared" si="43"/>
        <v/>
      </c>
      <c r="G135" s="134"/>
      <c r="H135" s="121"/>
      <c r="I135" s="133">
        <f t="shared" si="41"/>
        <v>0</v>
      </c>
      <c r="J135" s="134"/>
      <c r="K135" s="134"/>
      <c r="L135" s="134"/>
      <c r="M135" s="121"/>
      <c r="N135" s="134"/>
      <c r="O135" s="133"/>
      <c r="P135" s="133"/>
      <c r="Q135" s="97"/>
      <c r="R135" s="97"/>
      <c r="S135" s="97"/>
      <c r="T135" s="97"/>
      <c r="U135" s="97"/>
      <c r="V135" s="97"/>
      <c r="W135" s="97"/>
      <c r="X135" s="142"/>
      <c r="Y135" s="142"/>
      <c r="Z135" s="142"/>
    </row>
    <row r="136">
      <c r="A136" s="104"/>
      <c r="B136" s="121"/>
      <c r="C136" s="135">
        <f t="shared" si="42"/>
        <v>45781</v>
      </c>
      <c r="D136" s="136"/>
      <c r="E136" s="121"/>
      <c r="F136" s="137" t="str">
        <f t="shared" si="43"/>
        <v/>
      </c>
      <c r="G136" s="137"/>
      <c r="H136" s="121"/>
      <c r="I136" s="136">
        <f t="shared" si="41"/>
        <v>0</v>
      </c>
      <c r="J136" s="137"/>
      <c r="K136" s="137"/>
      <c r="L136" s="137"/>
      <c r="M136" s="121"/>
      <c r="N136" s="137"/>
      <c r="O136" s="136"/>
      <c r="P136" s="137"/>
      <c r="Q136" s="97"/>
      <c r="R136" s="97"/>
      <c r="S136" s="97"/>
      <c r="T136" s="97"/>
      <c r="U136" s="97"/>
      <c r="V136" s="97"/>
      <c r="W136" s="97"/>
      <c r="X136" s="142"/>
      <c r="Y136" s="142"/>
      <c r="Z136" s="142"/>
    </row>
    <row r="137">
      <c r="A137" s="104"/>
      <c r="B137" s="138"/>
      <c r="C137" s="112" t="s">
        <v>51</v>
      </c>
      <c r="D137" s="116">
        <f>IFERROR(ROUND(AVERAGE(D130:D136),1),0)</f>
        <v>0</v>
      </c>
      <c r="E137" s="138"/>
      <c r="F137" s="115" t="s">
        <v>52</v>
      </c>
      <c r="G137" s="11"/>
      <c r="H137" s="138"/>
      <c r="I137" s="116">
        <f>IFERROR(ROUND(AVERAGEIF(I130:I136,"&lt;&gt;0"),0),0)</f>
        <v>0</v>
      </c>
      <c r="J137" s="116">
        <f t="shared" ref="J137:L137" si="44">IFERROR(ROUND(AVERAGE(J130:J136),0),0)</f>
        <v>0</v>
      </c>
      <c r="K137" s="116">
        <f t="shared" si="44"/>
        <v>0</v>
      </c>
      <c r="L137" s="116">
        <f t="shared" si="44"/>
        <v>0</v>
      </c>
      <c r="M137" s="138"/>
      <c r="N137" s="116">
        <f>IFERROR(ROUND(AVERAGE(N130:N136),0),0)</f>
        <v>0</v>
      </c>
      <c r="O137" s="116">
        <f>IFERROR(SUM(O130:O136),0)</f>
        <v>0</v>
      </c>
      <c r="P137" s="116">
        <f>IFERROR(COUNTA(P130:P136),0)</f>
        <v>0</v>
      </c>
      <c r="Q137" s="97"/>
      <c r="R137" s="97"/>
      <c r="S137" s="97"/>
      <c r="T137" s="97"/>
      <c r="U137" s="97"/>
      <c r="V137" s="97"/>
      <c r="W137" s="97"/>
      <c r="X137" s="142"/>
      <c r="Y137" s="142"/>
      <c r="Z137" s="142"/>
    </row>
    <row r="138">
      <c r="A138" s="97"/>
      <c r="B138" s="109"/>
      <c r="C138" s="97"/>
      <c r="D138" s="98"/>
      <c r="E138" s="140"/>
      <c r="F138" s="140"/>
      <c r="G138" s="140"/>
      <c r="H138" s="140"/>
      <c r="I138" s="140"/>
      <c r="J138" s="140"/>
      <c r="K138" s="140"/>
      <c r="L138" s="140"/>
      <c r="M138" s="140"/>
      <c r="N138" s="98"/>
      <c r="O138" s="98"/>
      <c r="P138" s="98"/>
      <c r="Q138" s="97"/>
      <c r="R138" s="97"/>
      <c r="S138" s="97"/>
      <c r="T138" s="97"/>
      <c r="U138" s="97"/>
      <c r="V138" s="97"/>
      <c r="W138" s="97"/>
      <c r="X138" s="142"/>
      <c r="Y138" s="142"/>
      <c r="Z138" s="142"/>
    </row>
    <row r="139">
      <c r="A139" s="97"/>
      <c r="B139" s="112" t="s">
        <v>30</v>
      </c>
      <c r="C139" s="112" t="s">
        <v>31</v>
      </c>
      <c r="D139" s="113" t="s">
        <v>144</v>
      </c>
      <c r="E139" s="114" t="s">
        <v>33</v>
      </c>
      <c r="F139" s="115" t="s">
        <v>145</v>
      </c>
      <c r="G139" s="11"/>
      <c r="H139" s="114" t="s">
        <v>35</v>
      </c>
      <c r="I139" s="113" t="s">
        <v>146</v>
      </c>
      <c r="J139" s="113" t="s">
        <v>147</v>
      </c>
      <c r="K139" s="113" t="s">
        <v>148</v>
      </c>
      <c r="L139" s="113" t="s">
        <v>149</v>
      </c>
      <c r="M139" s="114" t="s">
        <v>40</v>
      </c>
      <c r="N139" s="113" t="s">
        <v>25</v>
      </c>
      <c r="O139" s="116" t="s">
        <v>150</v>
      </c>
      <c r="P139" s="113" t="s">
        <v>151</v>
      </c>
      <c r="Q139" s="97"/>
      <c r="R139" s="97"/>
      <c r="S139" s="97"/>
      <c r="T139" s="97"/>
      <c r="U139" s="97"/>
      <c r="V139" s="97"/>
      <c r="W139" s="97"/>
      <c r="X139" s="142"/>
      <c r="Y139" s="142"/>
      <c r="Z139" s="142"/>
    </row>
    <row r="140">
      <c r="A140" s="104"/>
      <c r="B140" s="118">
        <f>B129+1</f>
        <v>13</v>
      </c>
      <c r="C140" s="119" t="s">
        <v>43</v>
      </c>
      <c r="D140" s="120" t="s">
        <v>44</v>
      </c>
      <c r="E140" s="121"/>
      <c r="F140" s="122" t="s">
        <v>45</v>
      </c>
      <c r="G140" s="11"/>
      <c r="H140" s="121"/>
      <c r="I140" s="123" t="s">
        <v>46</v>
      </c>
      <c r="J140" s="10"/>
      <c r="K140" s="10"/>
      <c r="L140" s="11"/>
      <c r="M140" s="121"/>
      <c r="N140" s="119"/>
      <c r="O140" s="119"/>
      <c r="P140" s="120"/>
      <c r="Q140" s="141"/>
      <c r="R140" s="141"/>
      <c r="S140" s="141"/>
      <c r="T140" s="141"/>
      <c r="U140" s="141"/>
      <c r="V140" s="141"/>
      <c r="W140" s="141"/>
      <c r="X140" s="142"/>
      <c r="Y140" s="142"/>
      <c r="Z140" s="142"/>
    </row>
    <row r="141">
      <c r="A141" s="104"/>
      <c r="B141" s="121"/>
      <c r="C141" s="126">
        <f>IF(ISBLANK($C$9),"",C136+1)</f>
        <v>45782</v>
      </c>
      <c r="D141" s="127"/>
      <c r="E141" s="121"/>
      <c r="F141" s="127" t="str">
        <f>IF(ISNUMBER(F136),F136+1,"")</f>
        <v/>
      </c>
      <c r="G141" s="128"/>
      <c r="H141" s="121"/>
      <c r="I141" s="127">
        <f t="shared" ref="I141:I147" si="45">J141*4+K141*4+L141*9</f>
        <v>0</v>
      </c>
      <c r="J141" s="127"/>
      <c r="K141" s="127"/>
      <c r="L141" s="127"/>
      <c r="M141" s="121"/>
      <c r="N141" s="128"/>
      <c r="O141" s="127"/>
      <c r="P141" s="127"/>
      <c r="Q141" s="97"/>
      <c r="R141" s="97"/>
      <c r="S141" s="97"/>
      <c r="T141" s="97"/>
      <c r="U141" s="97"/>
      <c r="V141" s="97"/>
      <c r="W141" s="97"/>
      <c r="X141" s="142"/>
      <c r="Y141" s="142"/>
      <c r="Z141" s="142"/>
    </row>
    <row r="142">
      <c r="A142" s="104"/>
      <c r="B142" s="121"/>
      <c r="C142" s="132">
        <f t="shared" ref="C142:C147" si="46">IF(ISBLANK($C$9),"",C141+1)</f>
        <v>45783</v>
      </c>
      <c r="D142" s="133"/>
      <c r="E142" s="121"/>
      <c r="F142" s="134" t="str">
        <f t="shared" ref="F142:F147" si="47">IF(ISNUMBER(F141),F141+1,"")</f>
        <v/>
      </c>
      <c r="G142" s="134"/>
      <c r="H142" s="121"/>
      <c r="I142" s="133">
        <f t="shared" si="45"/>
        <v>0</v>
      </c>
      <c r="J142" s="133"/>
      <c r="K142" s="133"/>
      <c r="L142" s="133"/>
      <c r="M142" s="121"/>
      <c r="N142" s="134"/>
      <c r="O142" s="133"/>
      <c r="P142" s="133"/>
      <c r="Q142" s="97"/>
      <c r="R142" s="97"/>
      <c r="S142" s="97"/>
      <c r="T142" s="97"/>
      <c r="U142" s="97"/>
      <c r="V142" s="97"/>
      <c r="W142" s="97"/>
      <c r="X142" s="142"/>
      <c r="Y142" s="142"/>
      <c r="Z142" s="142"/>
    </row>
    <row r="143">
      <c r="A143" s="104"/>
      <c r="B143" s="121"/>
      <c r="C143" s="132">
        <f t="shared" si="46"/>
        <v>45784</v>
      </c>
      <c r="D143" s="133"/>
      <c r="E143" s="121"/>
      <c r="F143" s="134" t="str">
        <f t="shared" si="47"/>
        <v/>
      </c>
      <c r="G143" s="134"/>
      <c r="H143" s="121"/>
      <c r="I143" s="133">
        <f t="shared" si="45"/>
        <v>0</v>
      </c>
      <c r="J143" s="133"/>
      <c r="K143" s="133"/>
      <c r="L143" s="133"/>
      <c r="M143" s="121"/>
      <c r="N143" s="134"/>
      <c r="O143" s="133"/>
      <c r="P143" s="133"/>
      <c r="Q143" s="97"/>
      <c r="R143" s="97"/>
      <c r="S143" s="97"/>
      <c r="T143" s="97"/>
      <c r="U143" s="97"/>
      <c r="V143" s="97"/>
      <c r="W143" s="97"/>
      <c r="X143" s="142"/>
      <c r="Y143" s="142"/>
      <c r="Z143" s="142"/>
    </row>
    <row r="144">
      <c r="A144" s="104"/>
      <c r="B144" s="121"/>
      <c r="C144" s="132">
        <f t="shared" si="46"/>
        <v>45785</v>
      </c>
      <c r="D144" s="133"/>
      <c r="E144" s="121"/>
      <c r="F144" s="134" t="str">
        <f t="shared" si="47"/>
        <v/>
      </c>
      <c r="G144" s="134"/>
      <c r="H144" s="121"/>
      <c r="I144" s="133">
        <f t="shared" si="45"/>
        <v>0</v>
      </c>
      <c r="J144" s="134"/>
      <c r="K144" s="134"/>
      <c r="L144" s="134"/>
      <c r="M144" s="121"/>
      <c r="N144" s="134"/>
      <c r="O144" s="133"/>
      <c r="P144" s="134"/>
      <c r="Q144" s="97"/>
      <c r="R144" s="97"/>
      <c r="S144" s="97"/>
      <c r="T144" s="97"/>
      <c r="U144" s="97"/>
      <c r="V144" s="97"/>
      <c r="W144" s="97"/>
      <c r="X144" s="142"/>
      <c r="Y144" s="142"/>
      <c r="Z144" s="142"/>
    </row>
    <row r="145">
      <c r="A145" s="104"/>
      <c r="B145" s="121"/>
      <c r="C145" s="132">
        <f t="shared" si="46"/>
        <v>45786</v>
      </c>
      <c r="D145" s="133"/>
      <c r="E145" s="121"/>
      <c r="F145" s="134" t="str">
        <f t="shared" si="47"/>
        <v/>
      </c>
      <c r="G145" s="134"/>
      <c r="H145" s="121"/>
      <c r="I145" s="133">
        <f t="shared" si="45"/>
        <v>0</v>
      </c>
      <c r="J145" s="134"/>
      <c r="K145" s="134"/>
      <c r="L145" s="134"/>
      <c r="M145" s="121"/>
      <c r="N145" s="134"/>
      <c r="O145" s="133"/>
      <c r="P145" s="133"/>
      <c r="Q145" s="97"/>
      <c r="R145" s="97"/>
      <c r="S145" s="97"/>
      <c r="T145" s="97"/>
      <c r="U145" s="97"/>
      <c r="V145" s="97"/>
      <c r="W145" s="97"/>
      <c r="X145" s="142"/>
      <c r="Y145" s="142"/>
      <c r="Z145" s="142"/>
    </row>
    <row r="146">
      <c r="A146" s="104"/>
      <c r="B146" s="121"/>
      <c r="C146" s="132">
        <f t="shared" si="46"/>
        <v>45787</v>
      </c>
      <c r="D146" s="133"/>
      <c r="E146" s="121"/>
      <c r="F146" s="134" t="str">
        <f t="shared" si="47"/>
        <v/>
      </c>
      <c r="G146" s="134"/>
      <c r="H146" s="121"/>
      <c r="I146" s="133">
        <f t="shared" si="45"/>
        <v>0</v>
      </c>
      <c r="J146" s="134"/>
      <c r="K146" s="134"/>
      <c r="L146" s="134"/>
      <c r="M146" s="121"/>
      <c r="N146" s="134"/>
      <c r="O146" s="133"/>
      <c r="P146" s="133"/>
      <c r="Q146" s="97"/>
      <c r="R146" s="97"/>
      <c r="S146" s="97"/>
      <c r="T146" s="97"/>
      <c r="U146" s="97"/>
      <c r="V146" s="97"/>
      <c r="W146" s="97"/>
      <c r="X146" s="142"/>
      <c r="Y146" s="142"/>
      <c r="Z146" s="142"/>
    </row>
    <row r="147">
      <c r="A147" s="104"/>
      <c r="B147" s="121"/>
      <c r="C147" s="135">
        <f t="shared" si="46"/>
        <v>45788</v>
      </c>
      <c r="D147" s="136"/>
      <c r="E147" s="121"/>
      <c r="F147" s="137" t="str">
        <f t="shared" si="47"/>
        <v/>
      </c>
      <c r="G147" s="137"/>
      <c r="H147" s="121"/>
      <c r="I147" s="136">
        <f t="shared" si="45"/>
        <v>0</v>
      </c>
      <c r="J147" s="137"/>
      <c r="K147" s="137"/>
      <c r="L147" s="137"/>
      <c r="M147" s="121"/>
      <c r="N147" s="137"/>
      <c r="O147" s="136"/>
      <c r="P147" s="137"/>
      <c r="Q147" s="97"/>
      <c r="R147" s="97"/>
      <c r="S147" s="97"/>
      <c r="T147" s="97"/>
      <c r="U147" s="97"/>
      <c r="V147" s="97"/>
      <c r="W147" s="97"/>
      <c r="X147" s="142"/>
      <c r="Y147" s="142"/>
      <c r="Z147" s="142"/>
    </row>
    <row r="148">
      <c r="A148" s="104"/>
      <c r="B148" s="138"/>
      <c r="C148" s="112" t="s">
        <v>51</v>
      </c>
      <c r="D148" s="116">
        <f>IFERROR(ROUND(AVERAGE(D141:D147),1),0)</f>
        <v>0</v>
      </c>
      <c r="E148" s="138"/>
      <c r="F148" s="115" t="s">
        <v>52</v>
      </c>
      <c r="G148" s="11"/>
      <c r="H148" s="138"/>
      <c r="I148" s="116">
        <f>IFERROR(ROUND(AVERAGEIF(I141:I147,"&lt;&gt;0"),0),0)</f>
        <v>0</v>
      </c>
      <c r="J148" s="116">
        <f t="shared" ref="J148:L148" si="48">IFERROR(ROUND(AVERAGE(J141:J147),0),0)</f>
        <v>0</v>
      </c>
      <c r="K148" s="116">
        <f t="shared" si="48"/>
        <v>0</v>
      </c>
      <c r="L148" s="116">
        <f t="shared" si="48"/>
        <v>0</v>
      </c>
      <c r="M148" s="138"/>
      <c r="N148" s="116">
        <f>IFERROR(ROUND(AVERAGE(N141:N147),0),0)</f>
        <v>0</v>
      </c>
      <c r="O148" s="116">
        <f>IFERROR(SUM(O141:O147),0)</f>
        <v>0</v>
      </c>
      <c r="P148" s="116">
        <f>IFERROR(COUNTA(P141:P147),0)</f>
        <v>0</v>
      </c>
      <c r="Q148" s="97"/>
      <c r="R148" s="97"/>
      <c r="S148" s="97"/>
      <c r="T148" s="97"/>
      <c r="U148" s="97"/>
      <c r="V148" s="97"/>
      <c r="W148" s="97"/>
      <c r="X148" s="142"/>
      <c r="Y148" s="142"/>
      <c r="Z148" s="142"/>
    </row>
    <row r="149">
      <c r="A149" s="97"/>
      <c r="B149" s="109"/>
      <c r="C149" s="97"/>
      <c r="D149" s="98"/>
      <c r="E149" s="140"/>
      <c r="F149" s="140"/>
      <c r="G149" s="140"/>
      <c r="H149" s="140"/>
      <c r="I149" s="140"/>
      <c r="J149" s="140"/>
      <c r="K149" s="140"/>
      <c r="L149" s="140"/>
      <c r="M149" s="140"/>
      <c r="N149" s="98"/>
      <c r="O149" s="98"/>
      <c r="P149" s="98"/>
      <c r="Q149" s="97"/>
      <c r="R149" s="97"/>
      <c r="S149" s="97"/>
      <c r="T149" s="97"/>
      <c r="U149" s="97"/>
      <c r="V149" s="97"/>
      <c r="W149" s="97"/>
      <c r="X149" s="142"/>
      <c r="Y149" s="142"/>
      <c r="Z149" s="142"/>
    </row>
    <row r="150">
      <c r="A150" s="97"/>
      <c r="B150" s="112" t="s">
        <v>30</v>
      </c>
      <c r="C150" s="112" t="s">
        <v>31</v>
      </c>
      <c r="D150" s="113" t="s">
        <v>152</v>
      </c>
      <c r="E150" s="114" t="s">
        <v>33</v>
      </c>
      <c r="F150" s="115" t="s">
        <v>153</v>
      </c>
      <c r="G150" s="11"/>
      <c r="H150" s="114" t="s">
        <v>35</v>
      </c>
      <c r="I150" s="113" t="s">
        <v>154</v>
      </c>
      <c r="J150" s="113" t="s">
        <v>155</v>
      </c>
      <c r="K150" s="113" t="s">
        <v>156</v>
      </c>
      <c r="L150" s="113" t="s">
        <v>157</v>
      </c>
      <c r="M150" s="114" t="s">
        <v>40</v>
      </c>
      <c r="N150" s="113" t="s">
        <v>25</v>
      </c>
      <c r="O150" s="116" t="s">
        <v>158</v>
      </c>
      <c r="P150" s="113" t="s">
        <v>159</v>
      </c>
      <c r="Q150" s="97"/>
      <c r="R150" s="97"/>
      <c r="S150" s="97"/>
      <c r="T150" s="97"/>
      <c r="U150" s="97"/>
      <c r="V150" s="97"/>
      <c r="W150" s="97"/>
      <c r="X150" s="142"/>
      <c r="Y150" s="142"/>
      <c r="Z150" s="142"/>
    </row>
    <row r="151">
      <c r="A151" s="104"/>
      <c r="B151" s="118">
        <f>B140+1</f>
        <v>14</v>
      </c>
      <c r="C151" s="119" t="s">
        <v>43</v>
      </c>
      <c r="D151" s="120" t="s">
        <v>44</v>
      </c>
      <c r="E151" s="121"/>
      <c r="F151" s="122" t="s">
        <v>45</v>
      </c>
      <c r="G151" s="11"/>
      <c r="H151" s="121"/>
      <c r="I151" s="123" t="s">
        <v>46</v>
      </c>
      <c r="J151" s="10"/>
      <c r="K151" s="10"/>
      <c r="L151" s="11"/>
      <c r="M151" s="121"/>
      <c r="N151" s="119"/>
      <c r="O151" s="119"/>
      <c r="P151" s="120"/>
      <c r="Q151" s="141"/>
      <c r="R151" s="141"/>
      <c r="S151" s="141"/>
      <c r="T151" s="141"/>
      <c r="U151" s="141"/>
      <c r="V151" s="141"/>
      <c r="W151" s="141"/>
      <c r="X151" s="142"/>
      <c r="Y151" s="142"/>
      <c r="Z151" s="142"/>
    </row>
    <row r="152">
      <c r="A152" s="104"/>
      <c r="B152" s="121"/>
      <c r="C152" s="126">
        <f>IF(ISBLANK($C$9),"",C147+1)</f>
        <v>45789</v>
      </c>
      <c r="D152" s="127"/>
      <c r="E152" s="121"/>
      <c r="F152" s="127" t="str">
        <f>IF(ISNUMBER(F147),F147+1,"")</f>
        <v/>
      </c>
      <c r="G152" s="128"/>
      <c r="H152" s="121"/>
      <c r="I152" s="127">
        <f t="shared" ref="I152:I158" si="49">J152*4+K152*4+L152*9</f>
        <v>0</v>
      </c>
      <c r="J152" s="127"/>
      <c r="K152" s="127"/>
      <c r="L152" s="127"/>
      <c r="M152" s="121"/>
      <c r="N152" s="128"/>
      <c r="O152" s="127"/>
      <c r="P152" s="127"/>
      <c r="Q152" s="97"/>
      <c r="R152" s="97"/>
      <c r="S152" s="97"/>
      <c r="T152" s="97"/>
      <c r="U152" s="97"/>
      <c r="V152" s="97"/>
      <c r="W152" s="97"/>
      <c r="X152" s="142"/>
      <c r="Y152" s="142"/>
      <c r="Z152" s="142"/>
    </row>
    <row r="153">
      <c r="A153" s="104"/>
      <c r="B153" s="121"/>
      <c r="C153" s="132">
        <f t="shared" ref="C153:C158" si="50">IF(ISBLANK($C$9),"",C152+1)</f>
        <v>45790</v>
      </c>
      <c r="D153" s="133"/>
      <c r="E153" s="121"/>
      <c r="F153" s="134" t="str">
        <f t="shared" ref="F153:F158" si="51">IF(ISNUMBER(F152),F152+1,"")</f>
        <v/>
      </c>
      <c r="G153" s="134"/>
      <c r="H153" s="121"/>
      <c r="I153" s="133">
        <f t="shared" si="49"/>
        <v>0</v>
      </c>
      <c r="J153" s="133"/>
      <c r="K153" s="133"/>
      <c r="L153" s="133"/>
      <c r="M153" s="121"/>
      <c r="N153" s="134"/>
      <c r="O153" s="133"/>
      <c r="P153" s="133"/>
      <c r="Q153" s="97"/>
      <c r="R153" s="97"/>
      <c r="S153" s="97"/>
      <c r="T153" s="97"/>
      <c r="U153" s="97"/>
      <c r="V153" s="97"/>
      <c r="W153" s="97"/>
      <c r="X153" s="142"/>
      <c r="Y153" s="142"/>
      <c r="Z153" s="142"/>
    </row>
    <row r="154">
      <c r="A154" s="104"/>
      <c r="B154" s="121"/>
      <c r="C154" s="132">
        <f t="shared" si="50"/>
        <v>45791</v>
      </c>
      <c r="D154" s="133"/>
      <c r="E154" s="121"/>
      <c r="F154" s="134" t="str">
        <f t="shared" si="51"/>
        <v/>
      </c>
      <c r="G154" s="134"/>
      <c r="H154" s="121"/>
      <c r="I154" s="133">
        <f t="shared" si="49"/>
        <v>0</v>
      </c>
      <c r="J154" s="133"/>
      <c r="K154" s="133"/>
      <c r="L154" s="133"/>
      <c r="M154" s="121"/>
      <c r="N154" s="134"/>
      <c r="O154" s="133"/>
      <c r="P154" s="133"/>
      <c r="Q154" s="97"/>
      <c r="R154" s="97"/>
      <c r="S154" s="97"/>
      <c r="T154" s="97"/>
      <c r="U154" s="97"/>
      <c r="V154" s="97"/>
      <c r="W154" s="97"/>
      <c r="X154" s="142"/>
      <c r="Y154" s="142"/>
      <c r="Z154" s="142"/>
    </row>
    <row r="155">
      <c r="A155" s="104"/>
      <c r="B155" s="121"/>
      <c r="C155" s="132">
        <f t="shared" si="50"/>
        <v>45792</v>
      </c>
      <c r="D155" s="133"/>
      <c r="E155" s="121"/>
      <c r="F155" s="134" t="str">
        <f t="shared" si="51"/>
        <v/>
      </c>
      <c r="G155" s="134"/>
      <c r="H155" s="121"/>
      <c r="I155" s="133">
        <f t="shared" si="49"/>
        <v>0</v>
      </c>
      <c r="J155" s="134"/>
      <c r="K155" s="134"/>
      <c r="L155" s="134"/>
      <c r="M155" s="121"/>
      <c r="N155" s="134"/>
      <c r="O155" s="133"/>
      <c r="P155" s="134"/>
      <c r="Q155" s="97"/>
      <c r="R155" s="97"/>
      <c r="S155" s="97"/>
      <c r="T155" s="97"/>
      <c r="U155" s="97"/>
      <c r="V155" s="97"/>
      <c r="W155" s="97"/>
      <c r="X155" s="142"/>
      <c r="Y155" s="142"/>
      <c r="Z155" s="142"/>
    </row>
    <row r="156">
      <c r="A156" s="104"/>
      <c r="B156" s="121"/>
      <c r="C156" s="132">
        <f t="shared" si="50"/>
        <v>45793</v>
      </c>
      <c r="D156" s="133"/>
      <c r="E156" s="121"/>
      <c r="F156" s="134" t="str">
        <f t="shared" si="51"/>
        <v/>
      </c>
      <c r="G156" s="134"/>
      <c r="H156" s="121"/>
      <c r="I156" s="133">
        <f t="shared" si="49"/>
        <v>0</v>
      </c>
      <c r="J156" s="134"/>
      <c r="K156" s="134"/>
      <c r="L156" s="134"/>
      <c r="M156" s="121"/>
      <c r="N156" s="134"/>
      <c r="O156" s="133"/>
      <c r="P156" s="133"/>
      <c r="Q156" s="97"/>
      <c r="R156" s="97"/>
      <c r="S156" s="97"/>
      <c r="T156" s="97"/>
      <c r="U156" s="97"/>
      <c r="V156" s="97"/>
      <c r="W156" s="97"/>
      <c r="X156" s="142"/>
      <c r="Y156" s="142"/>
      <c r="Z156" s="142"/>
    </row>
    <row r="157">
      <c r="A157" s="104"/>
      <c r="B157" s="121"/>
      <c r="C157" s="132">
        <f t="shared" si="50"/>
        <v>45794</v>
      </c>
      <c r="D157" s="133"/>
      <c r="E157" s="121"/>
      <c r="F157" s="134" t="str">
        <f t="shared" si="51"/>
        <v/>
      </c>
      <c r="G157" s="134"/>
      <c r="H157" s="121"/>
      <c r="I157" s="133">
        <f t="shared" si="49"/>
        <v>0</v>
      </c>
      <c r="J157" s="134"/>
      <c r="K157" s="134"/>
      <c r="L157" s="134"/>
      <c r="M157" s="121"/>
      <c r="N157" s="134"/>
      <c r="O157" s="133"/>
      <c r="P157" s="133"/>
      <c r="Q157" s="97"/>
      <c r="R157" s="97"/>
      <c r="S157" s="97"/>
      <c r="T157" s="97"/>
      <c r="U157" s="97"/>
      <c r="V157" s="97"/>
      <c r="W157" s="97"/>
      <c r="X157" s="142"/>
      <c r="Y157" s="142"/>
      <c r="Z157" s="142"/>
    </row>
    <row r="158">
      <c r="A158" s="104"/>
      <c r="B158" s="121"/>
      <c r="C158" s="135">
        <f t="shared" si="50"/>
        <v>45795</v>
      </c>
      <c r="D158" s="136"/>
      <c r="E158" s="121"/>
      <c r="F158" s="137" t="str">
        <f t="shared" si="51"/>
        <v/>
      </c>
      <c r="G158" s="137"/>
      <c r="H158" s="121"/>
      <c r="I158" s="136">
        <f t="shared" si="49"/>
        <v>0</v>
      </c>
      <c r="J158" s="137"/>
      <c r="K158" s="137"/>
      <c r="L158" s="137"/>
      <c r="M158" s="121"/>
      <c r="N158" s="137"/>
      <c r="O158" s="136"/>
      <c r="P158" s="137"/>
      <c r="Q158" s="97"/>
      <c r="R158" s="97"/>
      <c r="S158" s="97"/>
      <c r="T158" s="97"/>
      <c r="U158" s="97"/>
      <c r="V158" s="97"/>
      <c r="W158" s="97"/>
      <c r="X158" s="142"/>
      <c r="Y158" s="142"/>
      <c r="Z158" s="142"/>
    </row>
    <row r="159">
      <c r="A159" s="104"/>
      <c r="B159" s="138"/>
      <c r="C159" s="112" t="s">
        <v>51</v>
      </c>
      <c r="D159" s="116">
        <f>IFERROR(ROUND(AVERAGE(D152:D158),1),0)</f>
        <v>0</v>
      </c>
      <c r="E159" s="138"/>
      <c r="F159" s="115" t="s">
        <v>52</v>
      </c>
      <c r="G159" s="11"/>
      <c r="H159" s="138"/>
      <c r="I159" s="116">
        <f>IFERROR(ROUND(AVERAGEIF(I152:I158,"&lt;&gt;0"),0),0)</f>
        <v>0</v>
      </c>
      <c r="J159" s="116">
        <f t="shared" ref="J159:L159" si="52">IFERROR(ROUND(AVERAGE(J152:J158),0),0)</f>
        <v>0</v>
      </c>
      <c r="K159" s="116">
        <f t="shared" si="52"/>
        <v>0</v>
      </c>
      <c r="L159" s="116">
        <f t="shared" si="52"/>
        <v>0</v>
      </c>
      <c r="M159" s="138"/>
      <c r="N159" s="116">
        <f>IFERROR(ROUND(AVERAGE(N152:N158),0),0)</f>
        <v>0</v>
      </c>
      <c r="O159" s="116">
        <f>IFERROR(SUM(O152:O158),0)</f>
        <v>0</v>
      </c>
      <c r="P159" s="116">
        <f>IFERROR(COUNTA(P152:P158),0)</f>
        <v>0</v>
      </c>
      <c r="Q159" s="97"/>
      <c r="R159" s="97"/>
      <c r="S159" s="97"/>
      <c r="T159" s="97"/>
      <c r="U159" s="97"/>
      <c r="V159" s="97"/>
      <c r="W159" s="97"/>
      <c r="X159" s="142"/>
      <c r="Y159" s="142"/>
      <c r="Z159" s="142"/>
    </row>
    <row r="160">
      <c r="A160" s="97"/>
      <c r="B160" s="109"/>
      <c r="C160" s="97"/>
      <c r="D160" s="98"/>
      <c r="E160" s="140"/>
      <c r="F160" s="140"/>
      <c r="G160" s="140"/>
      <c r="H160" s="140"/>
      <c r="I160" s="140"/>
      <c r="J160" s="140"/>
      <c r="K160" s="140"/>
      <c r="L160" s="140"/>
      <c r="M160" s="140"/>
      <c r="N160" s="98"/>
      <c r="O160" s="98"/>
      <c r="P160" s="98"/>
      <c r="Q160" s="97"/>
      <c r="R160" s="97"/>
      <c r="S160" s="97"/>
      <c r="T160" s="97"/>
      <c r="U160" s="97"/>
      <c r="V160" s="97"/>
      <c r="W160" s="97"/>
      <c r="X160" s="142"/>
      <c r="Y160" s="142"/>
      <c r="Z160" s="142"/>
    </row>
    <row r="161">
      <c r="A161" s="97"/>
      <c r="B161" s="112" t="s">
        <v>30</v>
      </c>
      <c r="C161" s="112" t="s">
        <v>31</v>
      </c>
      <c r="D161" s="113" t="s">
        <v>160</v>
      </c>
      <c r="E161" s="114" t="s">
        <v>33</v>
      </c>
      <c r="F161" s="115" t="s">
        <v>161</v>
      </c>
      <c r="G161" s="11"/>
      <c r="H161" s="114" t="s">
        <v>35</v>
      </c>
      <c r="I161" s="113" t="s">
        <v>162</v>
      </c>
      <c r="J161" s="113" t="s">
        <v>163</v>
      </c>
      <c r="K161" s="113" t="s">
        <v>164</v>
      </c>
      <c r="L161" s="113" t="s">
        <v>165</v>
      </c>
      <c r="M161" s="114" t="s">
        <v>40</v>
      </c>
      <c r="N161" s="113" t="s">
        <v>25</v>
      </c>
      <c r="O161" s="116" t="s">
        <v>166</v>
      </c>
      <c r="P161" s="113" t="s">
        <v>167</v>
      </c>
      <c r="Q161" s="97"/>
      <c r="R161" s="97"/>
      <c r="S161" s="97"/>
      <c r="T161" s="97"/>
      <c r="U161" s="97"/>
      <c r="V161" s="97"/>
      <c r="W161" s="97"/>
      <c r="X161" s="142"/>
      <c r="Y161" s="142"/>
      <c r="Z161" s="142"/>
    </row>
    <row r="162">
      <c r="A162" s="104"/>
      <c r="B162" s="118">
        <f>B151+1</f>
        <v>15</v>
      </c>
      <c r="C162" s="119" t="s">
        <v>43</v>
      </c>
      <c r="D162" s="120" t="s">
        <v>44</v>
      </c>
      <c r="E162" s="121"/>
      <c r="F162" s="122" t="s">
        <v>45</v>
      </c>
      <c r="G162" s="11"/>
      <c r="H162" s="121"/>
      <c r="I162" s="123" t="s">
        <v>46</v>
      </c>
      <c r="J162" s="10"/>
      <c r="K162" s="10"/>
      <c r="L162" s="11"/>
      <c r="M162" s="121"/>
      <c r="N162" s="119"/>
      <c r="O162" s="119"/>
      <c r="P162" s="120"/>
      <c r="Q162" s="141"/>
      <c r="R162" s="141"/>
      <c r="S162" s="141"/>
      <c r="T162" s="141"/>
      <c r="U162" s="141"/>
      <c r="V162" s="141"/>
      <c r="W162" s="141"/>
      <c r="X162" s="142"/>
      <c r="Y162" s="142"/>
      <c r="Z162" s="142"/>
    </row>
    <row r="163">
      <c r="A163" s="104"/>
      <c r="B163" s="121"/>
      <c r="C163" s="126">
        <f>IF(ISBLANK($C$9),"",C158+1)</f>
        <v>45796</v>
      </c>
      <c r="D163" s="127"/>
      <c r="E163" s="121"/>
      <c r="F163" s="127" t="str">
        <f>IF(ISNUMBER(F158),F158+1,"")</f>
        <v/>
      </c>
      <c r="G163" s="128"/>
      <c r="H163" s="121"/>
      <c r="I163" s="127">
        <f t="shared" ref="I163:I169" si="53">J163*4+K163*4+L163*9</f>
        <v>0</v>
      </c>
      <c r="J163" s="127"/>
      <c r="K163" s="127"/>
      <c r="L163" s="127"/>
      <c r="M163" s="121"/>
      <c r="N163" s="128"/>
      <c r="O163" s="127"/>
      <c r="P163" s="127"/>
      <c r="Q163" s="97"/>
      <c r="R163" s="97"/>
      <c r="S163" s="97"/>
      <c r="T163" s="97"/>
      <c r="U163" s="97"/>
      <c r="V163" s="97"/>
      <c r="W163" s="97"/>
      <c r="X163" s="142"/>
      <c r="Y163" s="142"/>
      <c r="Z163" s="142"/>
    </row>
    <row r="164">
      <c r="A164" s="104"/>
      <c r="B164" s="121"/>
      <c r="C164" s="132">
        <f t="shared" ref="C164:C169" si="54">IF(ISBLANK($C$9),"",C163+1)</f>
        <v>45797</v>
      </c>
      <c r="D164" s="133"/>
      <c r="E164" s="121"/>
      <c r="F164" s="134" t="str">
        <f t="shared" ref="F164:F169" si="55">IF(ISNUMBER(F163),F163+1,"")</f>
        <v/>
      </c>
      <c r="G164" s="134"/>
      <c r="H164" s="121"/>
      <c r="I164" s="133">
        <f t="shared" si="53"/>
        <v>0</v>
      </c>
      <c r="J164" s="133"/>
      <c r="K164" s="133"/>
      <c r="L164" s="133"/>
      <c r="M164" s="121"/>
      <c r="N164" s="134"/>
      <c r="O164" s="133"/>
      <c r="P164" s="133"/>
      <c r="Q164" s="97"/>
      <c r="R164" s="97"/>
      <c r="S164" s="97"/>
      <c r="T164" s="97"/>
      <c r="U164" s="97"/>
      <c r="V164" s="97"/>
      <c r="W164" s="97"/>
      <c r="X164" s="142"/>
      <c r="Y164" s="142"/>
      <c r="Z164" s="142"/>
    </row>
    <row r="165">
      <c r="A165" s="104"/>
      <c r="B165" s="121"/>
      <c r="C165" s="132">
        <f t="shared" si="54"/>
        <v>45798</v>
      </c>
      <c r="D165" s="133"/>
      <c r="E165" s="121"/>
      <c r="F165" s="134" t="str">
        <f t="shared" si="55"/>
        <v/>
      </c>
      <c r="G165" s="134"/>
      <c r="H165" s="121"/>
      <c r="I165" s="133">
        <f t="shared" si="53"/>
        <v>0</v>
      </c>
      <c r="J165" s="133"/>
      <c r="K165" s="133"/>
      <c r="L165" s="133"/>
      <c r="M165" s="121"/>
      <c r="N165" s="134"/>
      <c r="O165" s="133"/>
      <c r="P165" s="133"/>
      <c r="Q165" s="97"/>
      <c r="R165" s="97"/>
      <c r="S165" s="97"/>
      <c r="T165" s="97"/>
      <c r="U165" s="97"/>
      <c r="V165" s="97"/>
      <c r="W165" s="97"/>
      <c r="X165" s="142"/>
      <c r="Y165" s="142"/>
      <c r="Z165" s="142"/>
    </row>
    <row r="166">
      <c r="A166" s="104"/>
      <c r="B166" s="121"/>
      <c r="C166" s="132">
        <f t="shared" si="54"/>
        <v>45799</v>
      </c>
      <c r="D166" s="133"/>
      <c r="E166" s="121"/>
      <c r="F166" s="134" t="str">
        <f t="shared" si="55"/>
        <v/>
      </c>
      <c r="G166" s="134"/>
      <c r="H166" s="121"/>
      <c r="I166" s="133">
        <f t="shared" si="53"/>
        <v>0</v>
      </c>
      <c r="J166" s="134"/>
      <c r="K166" s="134"/>
      <c r="L166" s="134"/>
      <c r="M166" s="121"/>
      <c r="N166" s="134"/>
      <c r="O166" s="133"/>
      <c r="P166" s="134"/>
      <c r="Q166" s="97"/>
      <c r="R166" s="97"/>
      <c r="S166" s="97"/>
      <c r="T166" s="97"/>
      <c r="U166" s="97"/>
      <c r="V166" s="97"/>
      <c r="W166" s="97"/>
      <c r="X166" s="142"/>
      <c r="Y166" s="142"/>
      <c r="Z166" s="142"/>
    </row>
    <row r="167">
      <c r="A167" s="104"/>
      <c r="B167" s="121"/>
      <c r="C167" s="132">
        <f t="shared" si="54"/>
        <v>45800</v>
      </c>
      <c r="D167" s="133"/>
      <c r="E167" s="121"/>
      <c r="F167" s="134" t="str">
        <f t="shared" si="55"/>
        <v/>
      </c>
      <c r="G167" s="134"/>
      <c r="H167" s="121"/>
      <c r="I167" s="133">
        <f t="shared" si="53"/>
        <v>0</v>
      </c>
      <c r="J167" s="134"/>
      <c r="K167" s="134"/>
      <c r="L167" s="134"/>
      <c r="M167" s="121"/>
      <c r="N167" s="134"/>
      <c r="O167" s="133"/>
      <c r="P167" s="133"/>
      <c r="Q167" s="97"/>
      <c r="R167" s="97"/>
      <c r="S167" s="97"/>
      <c r="T167" s="97"/>
      <c r="U167" s="97"/>
      <c r="V167" s="97"/>
      <c r="W167" s="97"/>
      <c r="X167" s="142"/>
      <c r="Y167" s="142"/>
      <c r="Z167" s="142"/>
    </row>
    <row r="168">
      <c r="A168" s="104"/>
      <c r="B168" s="121"/>
      <c r="C168" s="132">
        <f t="shared" si="54"/>
        <v>45801</v>
      </c>
      <c r="D168" s="133"/>
      <c r="E168" s="121"/>
      <c r="F168" s="134" t="str">
        <f t="shared" si="55"/>
        <v/>
      </c>
      <c r="G168" s="134"/>
      <c r="H168" s="121"/>
      <c r="I168" s="133">
        <f t="shared" si="53"/>
        <v>0</v>
      </c>
      <c r="J168" s="134"/>
      <c r="K168" s="134"/>
      <c r="L168" s="134"/>
      <c r="M168" s="121"/>
      <c r="N168" s="134"/>
      <c r="O168" s="133"/>
      <c r="P168" s="133"/>
      <c r="Q168" s="97"/>
      <c r="R168" s="97"/>
      <c r="S168" s="97"/>
      <c r="T168" s="97"/>
      <c r="U168" s="97"/>
      <c r="V168" s="97"/>
      <c r="W168" s="97"/>
      <c r="X168" s="142"/>
      <c r="Y168" s="142"/>
      <c r="Z168" s="142"/>
    </row>
    <row r="169">
      <c r="A169" s="104"/>
      <c r="B169" s="121"/>
      <c r="C169" s="135">
        <f t="shared" si="54"/>
        <v>45802</v>
      </c>
      <c r="D169" s="136"/>
      <c r="E169" s="121"/>
      <c r="F169" s="137" t="str">
        <f t="shared" si="55"/>
        <v/>
      </c>
      <c r="G169" s="137"/>
      <c r="H169" s="121"/>
      <c r="I169" s="136">
        <f t="shared" si="53"/>
        <v>0</v>
      </c>
      <c r="J169" s="137"/>
      <c r="K169" s="137"/>
      <c r="L169" s="137"/>
      <c r="M169" s="121"/>
      <c r="N169" s="137"/>
      <c r="O169" s="136"/>
      <c r="P169" s="137"/>
      <c r="Q169" s="97"/>
      <c r="R169" s="97"/>
      <c r="S169" s="97"/>
      <c r="T169" s="97"/>
      <c r="U169" s="97"/>
      <c r="V169" s="97"/>
      <c r="W169" s="97"/>
      <c r="X169" s="142"/>
      <c r="Y169" s="142"/>
      <c r="Z169" s="142"/>
    </row>
    <row r="170">
      <c r="A170" s="104"/>
      <c r="B170" s="138"/>
      <c r="C170" s="112" t="s">
        <v>51</v>
      </c>
      <c r="D170" s="116">
        <f>IFERROR(ROUND(AVERAGE(D163:D169),1),0)</f>
        <v>0</v>
      </c>
      <c r="E170" s="138"/>
      <c r="F170" s="115" t="s">
        <v>52</v>
      </c>
      <c r="G170" s="11"/>
      <c r="H170" s="138"/>
      <c r="I170" s="116">
        <f>IFERROR(ROUND(AVERAGEIF(I163:I169,"&lt;&gt;0"),0),0)</f>
        <v>0</v>
      </c>
      <c r="J170" s="116">
        <f t="shared" ref="J170:L170" si="56">IFERROR(ROUND(AVERAGE(J163:J169),0),0)</f>
        <v>0</v>
      </c>
      <c r="K170" s="116">
        <f t="shared" si="56"/>
        <v>0</v>
      </c>
      <c r="L170" s="116">
        <f t="shared" si="56"/>
        <v>0</v>
      </c>
      <c r="M170" s="138"/>
      <c r="N170" s="116">
        <f>IFERROR(ROUND(AVERAGE(N163:N169),0),0)</f>
        <v>0</v>
      </c>
      <c r="O170" s="116">
        <f>IFERROR(SUM(O163:O169),0)</f>
        <v>0</v>
      </c>
      <c r="P170" s="116">
        <f>IFERROR(COUNTA(P163:P169),0)</f>
        <v>0</v>
      </c>
      <c r="Q170" s="97"/>
      <c r="R170" s="97"/>
      <c r="S170" s="97"/>
      <c r="T170" s="97"/>
      <c r="U170" s="97"/>
      <c r="V170" s="97"/>
      <c r="W170" s="97"/>
      <c r="X170" s="142"/>
      <c r="Y170" s="142"/>
      <c r="Z170" s="142"/>
    </row>
    <row r="171">
      <c r="A171" s="97"/>
      <c r="B171" s="109"/>
      <c r="C171" s="97"/>
      <c r="D171" s="98"/>
      <c r="E171" s="140"/>
      <c r="F171" s="140"/>
      <c r="G171" s="140"/>
      <c r="H171" s="140"/>
      <c r="I171" s="140"/>
      <c r="J171" s="140"/>
      <c r="K171" s="140"/>
      <c r="L171" s="140"/>
      <c r="M171" s="140"/>
      <c r="N171" s="98"/>
      <c r="O171" s="98"/>
      <c r="P171" s="98"/>
      <c r="Q171" s="97"/>
      <c r="R171" s="97"/>
      <c r="S171" s="97"/>
      <c r="T171" s="97"/>
      <c r="U171" s="97"/>
      <c r="V171" s="97"/>
      <c r="W171" s="97"/>
      <c r="X171" s="142"/>
      <c r="Y171" s="142"/>
      <c r="Z171" s="142"/>
    </row>
    <row r="172">
      <c r="A172" s="97"/>
      <c r="B172" s="112" t="s">
        <v>30</v>
      </c>
      <c r="C172" s="112" t="s">
        <v>31</v>
      </c>
      <c r="D172" s="113" t="s">
        <v>168</v>
      </c>
      <c r="E172" s="114" t="s">
        <v>33</v>
      </c>
      <c r="F172" s="115" t="s">
        <v>169</v>
      </c>
      <c r="G172" s="11"/>
      <c r="H172" s="114" t="s">
        <v>35</v>
      </c>
      <c r="I172" s="113" t="s">
        <v>170</v>
      </c>
      <c r="J172" s="113" t="s">
        <v>171</v>
      </c>
      <c r="K172" s="113" t="s">
        <v>172</v>
      </c>
      <c r="L172" s="113" t="s">
        <v>173</v>
      </c>
      <c r="M172" s="114" t="s">
        <v>40</v>
      </c>
      <c r="N172" s="113" t="s">
        <v>25</v>
      </c>
      <c r="O172" s="116" t="s">
        <v>174</v>
      </c>
      <c r="P172" s="113" t="s">
        <v>175</v>
      </c>
      <c r="Q172" s="97"/>
      <c r="R172" s="97"/>
      <c r="S172" s="97"/>
      <c r="T172" s="97"/>
      <c r="U172" s="97"/>
      <c r="V172" s="97"/>
      <c r="W172" s="97"/>
      <c r="X172" s="142"/>
      <c r="Y172" s="142"/>
      <c r="Z172" s="142"/>
    </row>
    <row r="173">
      <c r="A173" s="104"/>
      <c r="B173" s="118">
        <f>B162+1</f>
        <v>16</v>
      </c>
      <c r="C173" s="119" t="s">
        <v>43</v>
      </c>
      <c r="D173" s="120" t="s">
        <v>44</v>
      </c>
      <c r="E173" s="121"/>
      <c r="F173" s="122" t="s">
        <v>45</v>
      </c>
      <c r="G173" s="11"/>
      <c r="H173" s="121"/>
      <c r="I173" s="123" t="s">
        <v>46</v>
      </c>
      <c r="J173" s="10"/>
      <c r="K173" s="10"/>
      <c r="L173" s="11"/>
      <c r="M173" s="121"/>
      <c r="N173" s="119"/>
      <c r="O173" s="119"/>
      <c r="P173" s="120"/>
      <c r="Q173" s="141"/>
      <c r="R173" s="141"/>
      <c r="S173" s="141"/>
      <c r="T173" s="141"/>
      <c r="U173" s="141"/>
      <c r="V173" s="141"/>
      <c r="W173" s="141"/>
      <c r="X173" s="142"/>
      <c r="Y173" s="142"/>
      <c r="Z173" s="142"/>
    </row>
    <row r="174">
      <c r="A174" s="104"/>
      <c r="B174" s="121"/>
      <c r="C174" s="126">
        <f>IF(ISBLANK($C$9),"",C169+1)</f>
        <v>45803</v>
      </c>
      <c r="D174" s="127"/>
      <c r="E174" s="121"/>
      <c r="F174" s="127" t="str">
        <f>IF(ISNUMBER(F169),F169+1,"")</f>
        <v/>
      </c>
      <c r="G174" s="128"/>
      <c r="H174" s="121"/>
      <c r="I174" s="127">
        <f t="shared" ref="I174:I180" si="57">J174*4+K174*4+L174*9</f>
        <v>0</v>
      </c>
      <c r="J174" s="127"/>
      <c r="K174" s="127"/>
      <c r="L174" s="127"/>
      <c r="M174" s="121"/>
      <c r="N174" s="128"/>
      <c r="O174" s="127"/>
      <c r="P174" s="127"/>
      <c r="Q174" s="97"/>
      <c r="R174" s="97"/>
      <c r="S174" s="97"/>
      <c r="T174" s="97"/>
      <c r="U174" s="97"/>
      <c r="V174" s="97"/>
      <c r="W174" s="97"/>
      <c r="X174" s="142"/>
      <c r="Y174" s="142"/>
      <c r="Z174" s="142"/>
    </row>
    <row r="175">
      <c r="A175" s="104"/>
      <c r="B175" s="121"/>
      <c r="C175" s="132">
        <f t="shared" ref="C175:C180" si="58">IF(ISBLANK($C$9),"",C174+1)</f>
        <v>45804</v>
      </c>
      <c r="D175" s="133"/>
      <c r="E175" s="121"/>
      <c r="F175" s="134" t="str">
        <f t="shared" ref="F175:F180" si="59">IF(ISNUMBER(F174),F174+1,"")</f>
        <v/>
      </c>
      <c r="G175" s="134"/>
      <c r="H175" s="121"/>
      <c r="I175" s="133">
        <f t="shared" si="57"/>
        <v>0</v>
      </c>
      <c r="J175" s="133"/>
      <c r="K175" s="133"/>
      <c r="L175" s="133"/>
      <c r="M175" s="121"/>
      <c r="N175" s="134"/>
      <c r="O175" s="133"/>
      <c r="P175" s="133"/>
      <c r="Q175" s="97"/>
      <c r="R175" s="97"/>
      <c r="S175" s="97"/>
      <c r="T175" s="97"/>
      <c r="U175" s="97"/>
      <c r="V175" s="97"/>
      <c r="W175" s="97"/>
      <c r="X175" s="142"/>
      <c r="Y175" s="142"/>
      <c r="Z175" s="142"/>
    </row>
    <row r="176">
      <c r="A176" s="104"/>
      <c r="B176" s="121"/>
      <c r="C176" s="132">
        <f t="shared" si="58"/>
        <v>45805</v>
      </c>
      <c r="D176" s="133"/>
      <c r="E176" s="121"/>
      <c r="F176" s="134" t="str">
        <f t="shared" si="59"/>
        <v/>
      </c>
      <c r="G176" s="134"/>
      <c r="H176" s="121"/>
      <c r="I176" s="133">
        <f t="shared" si="57"/>
        <v>0</v>
      </c>
      <c r="J176" s="133"/>
      <c r="K176" s="133"/>
      <c r="L176" s="133"/>
      <c r="M176" s="121"/>
      <c r="N176" s="134"/>
      <c r="O176" s="133"/>
      <c r="P176" s="133"/>
      <c r="Q176" s="97"/>
      <c r="R176" s="97"/>
      <c r="S176" s="97"/>
      <c r="T176" s="97"/>
      <c r="U176" s="97"/>
      <c r="V176" s="97"/>
      <c r="W176" s="97"/>
      <c r="X176" s="142"/>
      <c r="Y176" s="142"/>
      <c r="Z176" s="142"/>
    </row>
    <row r="177">
      <c r="A177" s="104"/>
      <c r="B177" s="121"/>
      <c r="C177" s="132">
        <f t="shared" si="58"/>
        <v>45806</v>
      </c>
      <c r="D177" s="133"/>
      <c r="E177" s="121"/>
      <c r="F177" s="134" t="str">
        <f t="shared" si="59"/>
        <v/>
      </c>
      <c r="G177" s="134"/>
      <c r="H177" s="121"/>
      <c r="I177" s="133">
        <f t="shared" si="57"/>
        <v>0</v>
      </c>
      <c r="J177" s="134"/>
      <c r="K177" s="134"/>
      <c r="L177" s="134"/>
      <c r="M177" s="121"/>
      <c r="N177" s="134"/>
      <c r="O177" s="133"/>
      <c r="P177" s="134"/>
      <c r="Q177" s="97"/>
      <c r="R177" s="97"/>
      <c r="S177" s="97"/>
      <c r="T177" s="97"/>
      <c r="U177" s="97"/>
      <c r="V177" s="97"/>
      <c r="W177" s="97"/>
      <c r="X177" s="142"/>
      <c r="Y177" s="142"/>
      <c r="Z177" s="142"/>
    </row>
    <row r="178">
      <c r="A178" s="104"/>
      <c r="B178" s="121"/>
      <c r="C178" s="132">
        <f t="shared" si="58"/>
        <v>45807</v>
      </c>
      <c r="D178" s="133"/>
      <c r="E178" s="121"/>
      <c r="F178" s="134" t="str">
        <f t="shared" si="59"/>
        <v/>
      </c>
      <c r="G178" s="134"/>
      <c r="H178" s="121"/>
      <c r="I178" s="133">
        <f t="shared" si="57"/>
        <v>0</v>
      </c>
      <c r="J178" s="134"/>
      <c r="K178" s="134"/>
      <c r="L178" s="134"/>
      <c r="M178" s="121"/>
      <c r="N178" s="134"/>
      <c r="O178" s="133"/>
      <c r="P178" s="133"/>
      <c r="Q178" s="97"/>
      <c r="R178" s="97"/>
      <c r="S178" s="97"/>
      <c r="T178" s="97"/>
      <c r="U178" s="97"/>
      <c r="V178" s="97"/>
      <c r="W178" s="97"/>
      <c r="X178" s="142"/>
      <c r="Y178" s="142"/>
      <c r="Z178" s="142"/>
    </row>
    <row r="179">
      <c r="A179" s="104"/>
      <c r="B179" s="121"/>
      <c r="C179" s="132">
        <f t="shared" si="58"/>
        <v>45808</v>
      </c>
      <c r="D179" s="133"/>
      <c r="E179" s="121"/>
      <c r="F179" s="134" t="str">
        <f t="shared" si="59"/>
        <v/>
      </c>
      <c r="G179" s="134"/>
      <c r="H179" s="121"/>
      <c r="I179" s="133">
        <f t="shared" si="57"/>
        <v>0</v>
      </c>
      <c r="J179" s="134"/>
      <c r="K179" s="134"/>
      <c r="L179" s="134"/>
      <c r="M179" s="121"/>
      <c r="N179" s="134"/>
      <c r="O179" s="133"/>
      <c r="P179" s="133"/>
      <c r="Q179" s="97"/>
      <c r="R179" s="97"/>
      <c r="S179" s="97"/>
      <c r="T179" s="97"/>
      <c r="U179" s="97"/>
      <c r="V179" s="97"/>
      <c r="W179" s="97"/>
      <c r="X179" s="142"/>
      <c r="Y179" s="142"/>
      <c r="Z179" s="142"/>
    </row>
    <row r="180">
      <c r="A180" s="104"/>
      <c r="B180" s="121"/>
      <c r="C180" s="135">
        <f t="shared" si="58"/>
        <v>45809</v>
      </c>
      <c r="D180" s="136"/>
      <c r="E180" s="121"/>
      <c r="F180" s="137" t="str">
        <f t="shared" si="59"/>
        <v/>
      </c>
      <c r="G180" s="137"/>
      <c r="H180" s="121"/>
      <c r="I180" s="136">
        <f t="shared" si="57"/>
        <v>0</v>
      </c>
      <c r="J180" s="137"/>
      <c r="K180" s="137"/>
      <c r="L180" s="137"/>
      <c r="M180" s="121"/>
      <c r="N180" s="137"/>
      <c r="O180" s="136"/>
      <c r="P180" s="137"/>
      <c r="Q180" s="97"/>
      <c r="R180" s="97"/>
      <c r="S180" s="97"/>
      <c r="T180" s="97"/>
      <c r="U180" s="97"/>
      <c r="V180" s="97"/>
      <c r="W180" s="97"/>
      <c r="X180" s="142"/>
      <c r="Y180" s="142"/>
      <c r="Z180" s="142"/>
    </row>
    <row r="181">
      <c r="A181" s="104"/>
      <c r="B181" s="138"/>
      <c r="C181" s="112" t="s">
        <v>51</v>
      </c>
      <c r="D181" s="116">
        <f>IFERROR(ROUND(AVERAGE(D174:D180),1),0)</f>
        <v>0</v>
      </c>
      <c r="E181" s="138"/>
      <c r="F181" s="115" t="s">
        <v>52</v>
      </c>
      <c r="G181" s="11"/>
      <c r="H181" s="138"/>
      <c r="I181" s="116">
        <f>IFERROR(ROUND(AVERAGEIF(I174:I180,"&lt;&gt;0"),0),0)</f>
        <v>0</v>
      </c>
      <c r="J181" s="116">
        <f t="shared" ref="J181:L181" si="60">IFERROR(ROUND(AVERAGE(J174:J180),0),0)</f>
        <v>0</v>
      </c>
      <c r="K181" s="116">
        <f t="shared" si="60"/>
        <v>0</v>
      </c>
      <c r="L181" s="116">
        <f t="shared" si="60"/>
        <v>0</v>
      </c>
      <c r="M181" s="138"/>
      <c r="N181" s="116">
        <f>IFERROR(ROUND(AVERAGE(N174:N180),0),0)</f>
        <v>0</v>
      </c>
      <c r="O181" s="116">
        <f>IFERROR(SUM(O174:O180),0)</f>
        <v>0</v>
      </c>
      <c r="P181" s="116">
        <f>IFERROR(COUNTA(P174:P180),0)</f>
        <v>0</v>
      </c>
      <c r="Q181" s="97"/>
      <c r="R181" s="97"/>
      <c r="S181" s="97"/>
      <c r="T181" s="97"/>
      <c r="U181" s="97"/>
      <c r="V181" s="97"/>
      <c r="W181" s="97"/>
      <c r="X181" s="142"/>
      <c r="Y181" s="142"/>
      <c r="Z181" s="142"/>
    </row>
    <row r="182">
      <c r="A182" s="97"/>
      <c r="B182" s="109"/>
      <c r="C182" s="97"/>
      <c r="D182" s="98"/>
      <c r="E182" s="140"/>
      <c r="F182" s="140"/>
      <c r="G182" s="140"/>
      <c r="H182" s="140"/>
      <c r="I182" s="140"/>
      <c r="J182" s="140"/>
      <c r="K182" s="140"/>
      <c r="L182" s="140"/>
      <c r="M182" s="140"/>
      <c r="N182" s="98"/>
      <c r="O182" s="98"/>
      <c r="P182" s="98"/>
      <c r="Q182" s="97"/>
      <c r="R182" s="97"/>
      <c r="S182" s="97"/>
      <c r="T182" s="97"/>
      <c r="U182" s="97"/>
      <c r="V182" s="97"/>
      <c r="W182" s="97"/>
      <c r="X182" s="142"/>
      <c r="Y182" s="142"/>
      <c r="Z182" s="142"/>
    </row>
    <row r="183">
      <c r="A183" s="97"/>
      <c r="B183" s="112" t="s">
        <v>30</v>
      </c>
      <c r="C183" s="112" t="s">
        <v>31</v>
      </c>
      <c r="D183" s="113" t="s">
        <v>176</v>
      </c>
      <c r="E183" s="114" t="s">
        <v>33</v>
      </c>
      <c r="F183" s="115" t="s">
        <v>177</v>
      </c>
      <c r="G183" s="11"/>
      <c r="H183" s="114" t="s">
        <v>35</v>
      </c>
      <c r="I183" s="113" t="s">
        <v>178</v>
      </c>
      <c r="J183" s="113" t="s">
        <v>179</v>
      </c>
      <c r="K183" s="113" t="s">
        <v>180</v>
      </c>
      <c r="L183" s="113" t="s">
        <v>181</v>
      </c>
      <c r="M183" s="114" t="s">
        <v>40</v>
      </c>
      <c r="N183" s="113" t="s">
        <v>25</v>
      </c>
      <c r="O183" s="116" t="s">
        <v>182</v>
      </c>
      <c r="P183" s="113" t="s">
        <v>183</v>
      </c>
      <c r="Q183" s="97"/>
      <c r="R183" s="97"/>
      <c r="S183" s="97"/>
      <c r="T183" s="97"/>
      <c r="U183" s="97"/>
      <c r="V183" s="97"/>
      <c r="W183" s="97"/>
      <c r="X183" s="142"/>
      <c r="Y183" s="142"/>
      <c r="Z183" s="142"/>
    </row>
    <row r="184">
      <c r="A184" s="104"/>
      <c r="B184" s="118">
        <f>B173+1</f>
        <v>17</v>
      </c>
      <c r="C184" s="119" t="s">
        <v>43</v>
      </c>
      <c r="D184" s="120" t="s">
        <v>44</v>
      </c>
      <c r="E184" s="121"/>
      <c r="F184" s="122" t="s">
        <v>45</v>
      </c>
      <c r="G184" s="11"/>
      <c r="H184" s="121"/>
      <c r="I184" s="123" t="s">
        <v>46</v>
      </c>
      <c r="J184" s="10"/>
      <c r="K184" s="10"/>
      <c r="L184" s="11"/>
      <c r="M184" s="121"/>
      <c r="N184" s="119"/>
      <c r="O184" s="119"/>
      <c r="P184" s="120"/>
      <c r="Q184" s="141"/>
      <c r="R184" s="141"/>
      <c r="S184" s="141"/>
      <c r="T184" s="141"/>
      <c r="U184" s="141"/>
      <c r="V184" s="141"/>
      <c r="W184" s="141"/>
      <c r="X184" s="142"/>
      <c r="Y184" s="142"/>
      <c r="Z184" s="142"/>
    </row>
    <row r="185">
      <c r="A185" s="104"/>
      <c r="B185" s="121"/>
      <c r="C185" s="126">
        <f>IF(ISBLANK($C$9),"",C180+1)</f>
        <v>45810</v>
      </c>
      <c r="D185" s="127"/>
      <c r="E185" s="121"/>
      <c r="F185" s="127" t="str">
        <f>IF(ISNUMBER(F180),F180+1,"")</f>
        <v/>
      </c>
      <c r="G185" s="128"/>
      <c r="H185" s="121"/>
      <c r="I185" s="127">
        <f t="shared" ref="I185:I191" si="61">J185*4+K185*4+L185*9</f>
        <v>0</v>
      </c>
      <c r="J185" s="127"/>
      <c r="K185" s="127"/>
      <c r="L185" s="127"/>
      <c r="M185" s="121"/>
      <c r="N185" s="128"/>
      <c r="O185" s="127"/>
      <c r="P185" s="127"/>
      <c r="Q185" s="97"/>
      <c r="R185" s="97"/>
      <c r="S185" s="97"/>
      <c r="T185" s="97"/>
      <c r="U185" s="97"/>
      <c r="V185" s="97"/>
      <c r="W185" s="97"/>
      <c r="X185" s="142"/>
      <c r="Y185" s="142"/>
      <c r="Z185" s="142"/>
    </row>
    <row r="186">
      <c r="A186" s="104"/>
      <c r="B186" s="121"/>
      <c r="C186" s="132">
        <f t="shared" ref="C186:C191" si="62">IF(ISBLANK($C$9),"",C185+1)</f>
        <v>45811</v>
      </c>
      <c r="D186" s="133"/>
      <c r="E186" s="121"/>
      <c r="F186" s="134" t="str">
        <f t="shared" ref="F186:F191" si="63">IF(ISNUMBER(F185),F185+1,"")</f>
        <v/>
      </c>
      <c r="G186" s="134"/>
      <c r="H186" s="121"/>
      <c r="I186" s="133">
        <f t="shared" si="61"/>
        <v>0</v>
      </c>
      <c r="J186" s="133"/>
      <c r="K186" s="133"/>
      <c r="L186" s="133"/>
      <c r="M186" s="121"/>
      <c r="N186" s="134"/>
      <c r="O186" s="133"/>
      <c r="P186" s="133"/>
      <c r="Q186" s="97"/>
      <c r="R186" s="97"/>
      <c r="S186" s="97"/>
      <c r="T186" s="97"/>
      <c r="U186" s="97"/>
      <c r="V186" s="97"/>
      <c r="W186" s="97"/>
      <c r="X186" s="142"/>
      <c r="Y186" s="142"/>
      <c r="Z186" s="142"/>
    </row>
    <row r="187">
      <c r="A187" s="104"/>
      <c r="B187" s="121"/>
      <c r="C187" s="132">
        <f t="shared" si="62"/>
        <v>45812</v>
      </c>
      <c r="D187" s="133"/>
      <c r="E187" s="121"/>
      <c r="F187" s="134" t="str">
        <f t="shared" si="63"/>
        <v/>
      </c>
      <c r="G187" s="134"/>
      <c r="H187" s="121"/>
      <c r="I187" s="133">
        <f t="shared" si="61"/>
        <v>0</v>
      </c>
      <c r="J187" s="133"/>
      <c r="K187" s="133"/>
      <c r="L187" s="133"/>
      <c r="M187" s="121"/>
      <c r="N187" s="134"/>
      <c r="O187" s="133"/>
      <c r="P187" s="133"/>
      <c r="Q187" s="97"/>
      <c r="R187" s="97"/>
      <c r="S187" s="97"/>
      <c r="T187" s="97"/>
      <c r="U187" s="97"/>
      <c r="V187" s="97"/>
      <c r="W187" s="97"/>
      <c r="X187" s="142"/>
      <c r="Y187" s="142"/>
      <c r="Z187" s="142"/>
    </row>
    <row r="188">
      <c r="A188" s="104"/>
      <c r="B188" s="121"/>
      <c r="C188" s="132">
        <f t="shared" si="62"/>
        <v>45813</v>
      </c>
      <c r="D188" s="133"/>
      <c r="E188" s="121"/>
      <c r="F188" s="134" t="str">
        <f t="shared" si="63"/>
        <v/>
      </c>
      <c r="G188" s="134"/>
      <c r="H188" s="121"/>
      <c r="I188" s="133">
        <f t="shared" si="61"/>
        <v>0</v>
      </c>
      <c r="J188" s="134"/>
      <c r="K188" s="134"/>
      <c r="L188" s="134"/>
      <c r="M188" s="121"/>
      <c r="N188" s="134"/>
      <c r="O188" s="133"/>
      <c r="P188" s="134"/>
      <c r="Q188" s="97"/>
      <c r="R188" s="97"/>
      <c r="S188" s="97"/>
      <c r="T188" s="97"/>
      <c r="U188" s="97"/>
      <c r="V188" s="97"/>
      <c r="W188" s="97"/>
      <c r="X188" s="142"/>
      <c r="Y188" s="142"/>
      <c r="Z188" s="142"/>
    </row>
    <row r="189">
      <c r="A189" s="104"/>
      <c r="B189" s="121"/>
      <c r="C189" s="132">
        <f t="shared" si="62"/>
        <v>45814</v>
      </c>
      <c r="D189" s="133"/>
      <c r="E189" s="121"/>
      <c r="F189" s="134" t="str">
        <f t="shared" si="63"/>
        <v/>
      </c>
      <c r="G189" s="134"/>
      <c r="H189" s="121"/>
      <c r="I189" s="133">
        <f t="shared" si="61"/>
        <v>0</v>
      </c>
      <c r="J189" s="134"/>
      <c r="K189" s="134"/>
      <c r="L189" s="134"/>
      <c r="M189" s="121"/>
      <c r="N189" s="134"/>
      <c r="O189" s="133"/>
      <c r="P189" s="133"/>
      <c r="Q189" s="97"/>
      <c r="R189" s="97"/>
      <c r="S189" s="97"/>
      <c r="T189" s="97"/>
      <c r="U189" s="97"/>
      <c r="V189" s="97"/>
      <c r="W189" s="97"/>
      <c r="X189" s="142"/>
      <c r="Y189" s="142"/>
      <c r="Z189" s="142"/>
    </row>
    <row r="190">
      <c r="A190" s="104"/>
      <c r="B190" s="121"/>
      <c r="C190" s="132">
        <f t="shared" si="62"/>
        <v>45815</v>
      </c>
      <c r="D190" s="133"/>
      <c r="E190" s="121"/>
      <c r="F190" s="134" t="str">
        <f t="shared" si="63"/>
        <v/>
      </c>
      <c r="G190" s="134"/>
      <c r="H190" s="121"/>
      <c r="I190" s="133">
        <f t="shared" si="61"/>
        <v>0</v>
      </c>
      <c r="J190" s="134"/>
      <c r="K190" s="134"/>
      <c r="L190" s="134"/>
      <c r="M190" s="121"/>
      <c r="N190" s="134"/>
      <c r="O190" s="133"/>
      <c r="P190" s="133"/>
      <c r="Q190" s="97"/>
      <c r="R190" s="97"/>
      <c r="S190" s="97"/>
      <c r="T190" s="97"/>
      <c r="U190" s="97"/>
      <c r="V190" s="97"/>
      <c r="W190" s="97"/>
      <c r="X190" s="142"/>
      <c r="Y190" s="142"/>
      <c r="Z190" s="142"/>
    </row>
    <row r="191">
      <c r="A191" s="104"/>
      <c r="B191" s="121"/>
      <c r="C191" s="135">
        <f t="shared" si="62"/>
        <v>45816</v>
      </c>
      <c r="D191" s="136"/>
      <c r="E191" s="121"/>
      <c r="F191" s="137" t="str">
        <f t="shared" si="63"/>
        <v/>
      </c>
      <c r="G191" s="137"/>
      <c r="H191" s="121"/>
      <c r="I191" s="136">
        <f t="shared" si="61"/>
        <v>0</v>
      </c>
      <c r="J191" s="137"/>
      <c r="K191" s="137"/>
      <c r="L191" s="137"/>
      <c r="M191" s="121"/>
      <c r="N191" s="137"/>
      <c r="O191" s="136"/>
      <c r="P191" s="137"/>
      <c r="Q191" s="97"/>
      <c r="R191" s="97"/>
      <c r="S191" s="97"/>
      <c r="T191" s="97"/>
      <c r="U191" s="97"/>
      <c r="V191" s="97"/>
      <c r="W191" s="97"/>
      <c r="X191" s="142"/>
      <c r="Y191" s="142"/>
      <c r="Z191" s="142"/>
    </row>
    <row r="192">
      <c r="A192" s="104"/>
      <c r="B192" s="138"/>
      <c r="C192" s="112" t="s">
        <v>51</v>
      </c>
      <c r="D192" s="116">
        <f>IFERROR(ROUND(AVERAGE(D185:D191),1),0)</f>
        <v>0</v>
      </c>
      <c r="E192" s="138"/>
      <c r="F192" s="115" t="s">
        <v>52</v>
      </c>
      <c r="G192" s="11"/>
      <c r="H192" s="138"/>
      <c r="I192" s="116">
        <f>IFERROR(ROUND(AVERAGEIF(I185:I191,"&lt;&gt;0"),0),0)</f>
        <v>0</v>
      </c>
      <c r="J192" s="116">
        <f t="shared" ref="J192:L192" si="64">IFERROR(ROUND(AVERAGE(J185:J191),0),0)</f>
        <v>0</v>
      </c>
      <c r="K192" s="116">
        <f t="shared" si="64"/>
        <v>0</v>
      </c>
      <c r="L192" s="116">
        <f t="shared" si="64"/>
        <v>0</v>
      </c>
      <c r="M192" s="138"/>
      <c r="N192" s="116">
        <f>IFERROR(ROUND(AVERAGE(N185:N191),0),0)</f>
        <v>0</v>
      </c>
      <c r="O192" s="116">
        <f>IFERROR(SUM(O185:O191),0)</f>
        <v>0</v>
      </c>
      <c r="P192" s="116">
        <f>IFERROR(COUNTA(P185:P191),0)</f>
        <v>0</v>
      </c>
      <c r="Q192" s="97"/>
      <c r="R192" s="97"/>
      <c r="S192" s="97"/>
      <c r="T192" s="97"/>
      <c r="U192" s="97"/>
      <c r="V192" s="97"/>
      <c r="W192" s="97"/>
      <c r="X192" s="142"/>
      <c r="Y192" s="142"/>
      <c r="Z192" s="142"/>
    </row>
    <row r="193">
      <c r="A193" s="97"/>
      <c r="B193" s="109"/>
      <c r="C193" s="97"/>
      <c r="D193" s="98"/>
      <c r="E193" s="140"/>
      <c r="F193" s="140"/>
      <c r="G193" s="140"/>
      <c r="H193" s="140"/>
      <c r="I193" s="140"/>
      <c r="J193" s="140"/>
      <c r="K193" s="140"/>
      <c r="L193" s="140"/>
      <c r="M193" s="140"/>
      <c r="N193" s="98"/>
      <c r="O193" s="98"/>
      <c r="P193" s="98"/>
      <c r="Q193" s="97"/>
      <c r="R193" s="97"/>
      <c r="S193" s="97"/>
      <c r="T193" s="97"/>
      <c r="U193" s="97"/>
      <c r="V193" s="97"/>
      <c r="W193" s="97"/>
      <c r="X193" s="142"/>
      <c r="Y193" s="142"/>
      <c r="Z193" s="142"/>
    </row>
    <row r="194">
      <c r="A194" s="97"/>
      <c r="B194" s="112" t="s">
        <v>30</v>
      </c>
      <c r="C194" s="112" t="s">
        <v>31</v>
      </c>
      <c r="D194" s="113" t="s">
        <v>184</v>
      </c>
      <c r="E194" s="114" t="s">
        <v>33</v>
      </c>
      <c r="F194" s="115" t="s">
        <v>185</v>
      </c>
      <c r="G194" s="11"/>
      <c r="H194" s="114" t="s">
        <v>35</v>
      </c>
      <c r="I194" s="113" t="s">
        <v>186</v>
      </c>
      <c r="J194" s="113" t="s">
        <v>187</v>
      </c>
      <c r="K194" s="113" t="s">
        <v>188</v>
      </c>
      <c r="L194" s="113" t="s">
        <v>189</v>
      </c>
      <c r="M194" s="114" t="s">
        <v>40</v>
      </c>
      <c r="N194" s="113" t="s">
        <v>25</v>
      </c>
      <c r="O194" s="116" t="s">
        <v>190</v>
      </c>
      <c r="P194" s="113" t="s">
        <v>191</v>
      </c>
      <c r="Q194" s="97"/>
      <c r="R194" s="97"/>
      <c r="S194" s="97"/>
      <c r="T194" s="97"/>
      <c r="U194" s="97"/>
      <c r="V194" s="97"/>
      <c r="W194" s="97"/>
      <c r="X194" s="142"/>
      <c r="Y194" s="142"/>
      <c r="Z194" s="142"/>
    </row>
    <row r="195">
      <c r="A195" s="104"/>
      <c r="B195" s="118">
        <f>B184+1</f>
        <v>18</v>
      </c>
      <c r="C195" s="119" t="s">
        <v>43</v>
      </c>
      <c r="D195" s="120" t="s">
        <v>44</v>
      </c>
      <c r="E195" s="121"/>
      <c r="F195" s="122" t="s">
        <v>45</v>
      </c>
      <c r="G195" s="11"/>
      <c r="H195" s="121"/>
      <c r="I195" s="123" t="s">
        <v>46</v>
      </c>
      <c r="J195" s="10"/>
      <c r="K195" s="10"/>
      <c r="L195" s="11"/>
      <c r="M195" s="121"/>
      <c r="N195" s="119"/>
      <c r="O195" s="119"/>
      <c r="P195" s="120"/>
      <c r="Q195" s="141"/>
      <c r="R195" s="141"/>
      <c r="S195" s="141"/>
      <c r="T195" s="141"/>
      <c r="U195" s="141"/>
      <c r="V195" s="141"/>
      <c r="W195" s="141"/>
      <c r="X195" s="142"/>
      <c r="Y195" s="142"/>
      <c r="Z195" s="142"/>
    </row>
    <row r="196">
      <c r="A196" s="104"/>
      <c r="B196" s="121"/>
      <c r="C196" s="126">
        <f>IF(ISBLANK($C$9),"",C191+1)</f>
        <v>45817</v>
      </c>
      <c r="D196" s="127"/>
      <c r="E196" s="121"/>
      <c r="F196" s="127" t="str">
        <f>IF(ISNUMBER(F191),F191+1,"")</f>
        <v/>
      </c>
      <c r="G196" s="128"/>
      <c r="H196" s="121"/>
      <c r="I196" s="127">
        <f t="shared" ref="I196:I202" si="65">J196*4+K196*4+L196*9</f>
        <v>0</v>
      </c>
      <c r="J196" s="127"/>
      <c r="K196" s="127"/>
      <c r="L196" s="127"/>
      <c r="M196" s="121"/>
      <c r="N196" s="128"/>
      <c r="O196" s="127"/>
      <c r="P196" s="127"/>
      <c r="Q196" s="97"/>
      <c r="R196" s="97"/>
      <c r="S196" s="97"/>
      <c r="T196" s="97"/>
      <c r="U196" s="97"/>
      <c r="V196" s="97"/>
      <c r="W196" s="97"/>
      <c r="X196" s="142"/>
      <c r="Y196" s="142"/>
      <c r="Z196" s="142"/>
    </row>
    <row r="197">
      <c r="A197" s="104"/>
      <c r="B197" s="121"/>
      <c r="C197" s="132">
        <f t="shared" ref="C197:C202" si="66">IF(ISBLANK($C$9),"",C196+1)</f>
        <v>45818</v>
      </c>
      <c r="D197" s="133"/>
      <c r="E197" s="121"/>
      <c r="F197" s="134" t="str">
        <f t="shared" ref="F197:F202" si="67">IF(ISNUMBER(F196),F196+1,"")</f>
        <v/>
      </c>
      <c r="G197" s="134"/>
      <c r="H197" s="121"/>
      <c r="I197" s="133">
        <f t="shared" si="65"/>
        <v>0</v>
      </c>
      <c r="J197" s="133"/>
      <c r="K197" s="133"/>
      <c r="L197" s="133"/>
      <c r="M197" s="121"/>
      <c r="N197" s="134"/>
      <c r="O197" s="133"/>
      <c r="P197" s="133"/>
      <c r="Q197" s="97"/>
      <c r="R197" s="97"/>
      <c r="S197" s="97"/>
      <c r="T197" s="97"/>
      <c r="U197" s="97"/>
      <c r="V197" s="97"/>
      <c r="W197" s="97"/>
      <c r="X197" s="142"/>
      <c r="Y197" s="142"/>
      <c r="Z197" s="142"/>
    </row>
    <row r="198">
      <c r="A198" s="104"/>
      <c r="B198" s="121"/>
      <c r="C198" s="132">
        <f t="shared" si="66"/>
        <v>45819</v>
      </c>
      <c r="D198" s="133"/>
      <c r="E198" s="121"/>
      <c r="F198" s="134" t="str">
        <f t="shared" si="67"/>
        <v/>
      </c>
      <c r="G198" s="134"/>
      <c r="H198" s="121"/>
      <c r="I198" s="133">
        <f t="shared" si="65"/>
        <v>0</v>
      </c>
      <c r="J198" s="133"/>
      <c r="K198" s="133"/>
      <c r="L198" s="133"/>
      <c r="M198" s="121"/>
      <c r="N198" s="134"/>
      <c r="O198" s="133"/>
      <c r="P198" s="133"/>
      <c r="Q198" s="97"/>
      <c r="R198" s="97"/>
      <c r="S198" s="97"/>
      <c r="T198" s="97"/>
      <c r="U198" s="97"/>
      <c r="V198" s="97"/>
      <c r="W198" s="97"/>
      <c r="X198" s="142"/>
      <c r="Y198" s="142"/>
      <c r="Z198" s="142"/>
    </row>
    <row r="199">
      <c r="A199" s="104"/>
      <c r="B199" s="121"/>
      <c r="C199" s="132">
        <f t="shared" si="66"/>
        <v>45820</v>
      </c>
      <c r="D199" s="133"/>
      <c r="E199" s="121"/>
      <c r="F199" s="134" t="str">
        <f t="shared" si="67"/>
        <v/>
      </c>
      <c r="G199" s="134"/>
      <c r="H199" s="121"/>
      <c r="I199" s="133">
        <f t="shared" si="65"/>
        <v>0</v>
      </c>
      <c r="J199" s="134"/>
      <c r="K199" s="134"/>
      <c r="L199" s="134"/>
      <c r="M199" s="121"/>
      <c r="N199" s="134"/>
      <c r="O199" s="133"/>
      <c r="P199" s="134"/>
      <c r="Q199" s="97"/>
      <c r="R199" s="97"/>
      <c r="S199" s="97"/>
      <c r="T199" s="97"/>
      <c r="U199" s="97"/>
      <c r="V199" s="97"/>
      <c r="W199" s="97"/>
      <c r="X199" s="142"/>
      <c r="Y199" s="142"/>
      <c r="Z199" s="142"/>
    </row>
    <row r="200">
      <c r="A200" s="104"/>
      <c r="B200" s="121"/>
      <c r="C200" s="132">
        <f t="shared" si="66"/>
        <v>45821</v>
      </c>
      <c r="D200" s="133"/>
      <c r="E200" s="121"/>
      <c r="F200" s="134" t="str">
        <f t="shared" si="67"/>
        <v/>
      </c>
      <c r="G200" s="134"/>
      <c r="H200" s="121"/>
      <c r="I200" s="133">
        <f t="shared" si="65"/>
        <v>0</v>
      </c>
      <c r="J200" s="134"/>
      <c r="K200" s="134"/>
      <c r="L200" s="134"/>
      <c r="M200" s="121"/>
      <c r="N200" s="134"/>
      <c r="O200" s="133"/>
      <c r="P200" s="133"/>
      <c r="Q200" s="97"/>
      <c r="R200" s="97"/>
      <c r="S200" s="97"/>
      <c r="T200" s="97"/>
      <c r="U200" s="97"/>
      <c r="V200" s="97"/>
      <c r="W200" s="97"/>
      <c r="X200" s="142"/>
      <c r="Y200" s="142"/>
      <c r="Z200" s="142"/>
    </row>
    <row r="201">
      <c r="A201" s="104"/>
      <c r="B201" s="121"/>
      <c r="C201" s="132">
        <f t="shared" si="66"/>
        <v>45822</v>
      </c>
      <c r="D201" s="133"/>
      <c r="E201" s="121"/>
      <c r="F201" s="134" t="str">
        <f t="shared" si="67"/>
        <v/>
      </c>
      <c r="G201" s="134"/>
      <c r="H201" s="121"/>
      <c r="I201" s="133">
        <f t="shared" si="65"/>
        <v>0</v>
      </c>
      <c r="J201" s="134"/>
      <c r="K201" s="134"/>
      <c r="L201" s="134"/>
      <c r="M201" s="121"/>
      <c r="N201" s="134"/>
      <c r="O201" s="133"/>
      <c r="P201" s="133"/>
      <c r="Q201" s="97"/>
      <c r="R201" s="97"/>
      <c r="S201" s="97"/>
      <c r="T201" s="97"/>
      <c r="U201" s="97"/>
      <c r="V201" s="97"/>
      <c r="W201" s="97"/>
      <c r="X201" s="142"/>
      <c r="Y201" s="142"/>
      <c r="Z201" s="142"/>
    </row>
    <row r="202">
      <c r="A202" s="104"/>
      <c r="B202" s="121"/>
      <c r="C202" s="135">
        <f t="shared" si="66"/>
        <v>45823</v>
      </c>
      <c r="D202" s="136"/>
      <c r="E202" s="121"/>
      <c r="F202" s="137" t="str">
        <f t="shared" si="67"/>
        <v/>
      </c>
      <c r="G202" s="137"/>
      <c r="H202" s="121"/>
      <c r="I202" s="136">
        <f t="shared" si="65"/>
        <v>0</v>
      </c>
      <c r="J202" s="137"/>
      <c r="K202" s="137"/>
      <c r="L202" s="137"/>
      <c r="M202" s="121"/>
      <c r="N202" s="137"/>
      <c r="O202" s="136"/>
      <c r="P202" s="137"/>
      <c r="Q202" s="97"/>
      <c r="R202" s="97"/>
      <c r="S202" s="97"/>
      <c r="T202" s="97"/>
      <c r="U202" s="97"/>
      <c r="V202" s="97"/>
      <c r="W202" s="97"/>
      <c r="X202" s="142"/>
      <c r="Y202" s="142"/>
      <c r="Z202" s="142"/>
    </row>
    <row r="203">
      <c r="A203" s="104"/>
      <c r="B203" s="138"/>
      <c r="C203" s="112" t="s">
        <v>51</v>
      </c>
      <c r="D203" s="116">
        <f>IFERROR(ROUND(AVERAGE(D196:D202),1),0)</f>
        <v>0</v>
      </c>
      <c r="E203" s="138"/>
      <c r="F203" s="115" t="s">
        <v>52</v>
      </c>
      <c r="G203" s="11"/>
      <c r="H203" s="138"/>
      <c r="I203" s="116">
        <f>IFERROR(ROUND(AVERAGEIF(I196:I202,"&lt;&gt;0"),0),0)</f>
        <v>0</v>
      </c>
      <c r="J203" s="116">
        <f t="shared" ref="J203:L203" si="68">IFERROR(ROUND(AVERAGE(J196:J202),0),0)</f>
        <v>0</v>
      </c>
      <c r="K203" s="116">
        <f t="shared" si="68"/>
        <v>0</v>
      </c>
      <c r="L203" s="116">
        <f t="shared" si="68"/>
        <v>0</v>
      </c>
      <c r="M203" s="138"/>
      <c r="N203" s="116">
        <f>IFERROR(ROUND(AVERAGE(N196:N202),0),0)</f>
        <v>0</v>
      </c>
      <c r="O203" s="116">
        <f>IFERROR(SUM(O196:O202),0)</f>
        <v>0</v>
      </c>
      <c r="P203" s="116">
        <f>IFERROR(COUNTA(P196:P202),0)</f>
        <v>0</v>
      </c>
      <c r="Q203" s="97"/>
      <c r="R203" s="97"/>
      <c r="S203" s="97"/>
      <c r="T203" s="97"/>
      <c r="U203" s="97"/>
      <c r="V203" s="97"/>
      <c r="W203" s="97"/>
      <c r="X203" s="142"/>
      <c r="Y203" s="142"/>
      <c r="Z203" s="142"/>
    </row>
    <row r="204">
      <c r="A204" s="97"/>
      <c r="B204" s="109"/>
      <c r="C204" s="97"/>
      <c r="D204" s="98"/>
      <c r="E204" s="140"/>
      <c r="F204" s="140"/>
      <c r="G204" s="140"/>
      <c r="H204" s="140"/>
      <c r="I204" s="140"/>
      <c r="J204" s="140"/>
      <c r="K204" s="140"/>
      <c r="L204" s="140"/>
      <c r="M204" s="140"/>
      <c r="N204" s="98"/>
      <c r="O204" s="98"/>
      <c r="P204" s="98"/>
      <c r="Q204" s="97"/>
      <c r="R204" s="97"/>
      <c r="S204" s="97"/>
      <c r="T204" s="97"/>
      <c r="U204" s="97"/>
      <c r="V204" s="97"/>
      <c r="W204" s="97"/>
      <c r="X204" s="142"/>
      <c r="Y204" s="142"/>
      <c r="Z204" s="142"/>
    </row>
    <row r="205">
      <c r="A205" s="97"/>
      <c r="B205" s="112" t="s">
        <v>30</v>
      </c>
      <c r="C205" s="112" t="s">
        <v>31</v>
      </c>
      <c r="D205" s="113" t="s">
        <v>192</v>
      </c>
      <c r="E205" s="114" t="s">
        <v>33</v>
      </c>
      <c r="F205" s="115" t="s">
        <v>193</v>
      </c>
      <c r="G205" s="11"/>
      <c r="H205" s="114" t="s">
        <v>35</v>
      </c>
      <c r="I205" s="113" t="s">
        <v>194</v>
      </c>
      <c r="J205" s="113" t="s">
        <v>195</v>
      </c>
      <c r="K205" s="113" t="s">
        <v>196</v>
      </c>
      <c r="L205" s="113" t="s">
        <v>197</v>
      </c>
      <c r="M205" s="114" t="s">
        <v>40</v>
      </c>
      <c r="N205" s="113" t="s">
        <v>25</v>
      </c>
      <c r="O205" s="116" t="s">
        <v>198</v>
      </c>
      <c r="P205" s="113" t="s">
        <v>199</v>
      </c>
      <c r="Q205" s="97"/>
      <c r="R205" s="97"/>
      <c r="S205" s="97"/>
      <c r="T205" s="97"/>
      <c r="U205" s="97"/>
      <c r="V205" s="97"/>
      <c r="W205" s="97"/>
      <c r="X205" s="142"/>
      <c r="Y205" s="142"/>
      <c r="Z205" s="142"/>
    </row>
    <row r="206">
      <c r="A206" s="104"/>
      <c r="B206" s="118">
        <f>B195+1</f>
        <v>19</v>
      </c>
      <c r="C206" s="119" t="s">
        <v>43</v>
      </c>
      <c r="D206" s="120" t="s">
        <v>44</v>
      </c>
      <c r="E206" s="121"/>
      <c r="F206" s="122" t="s">
        <v>45</v>
      </c>
      <c r="G206" s="11"/>
      <c r="H206" s="121"/>
      <c r="I206" s="123" t="s">
        <v>46</v>
      </c>
      <c r="J206" s="10"/>
      <c r="K206" s="10"/>
      <c r="L206" s="11"/>
      <c r="M206" s="121"/>
      <c r="N206" s="119"/>
      <c r="O206" s="119"/>
      <c r="P206" s="120"/>
      <c r="Q206" s="141"/>
      <c r="R206" s="141"/>
      <c r="S206" s="141"/>
      <c r="T206" s="141"/>
      <c r="U206" s="141"/>
      <c r="V206" s="141"/>
      <c r="W206" s="141"/>
      <c r="X206" s="142"/>
      <c r="Y206" s="142"/>
      <c r="Z206" s="142"/>
    </row>
    <row r="207">
      <c r="A207" s="104"/>
      <c r="B207" s="121"/>
      <c r="C207" s="126">
        <f>IF(ISBLANK($C$9),"",C202+1)</f>
        <v>45824</v>
      </c>
      <c r="D207" s="127"/>
      <c r="E207" s="121"/>
      <c r="F207" s="127" t="str">
        <f>IF(ISNUMBER(F202),F202+1,"")</f>
        <v/>
      </c>
      <c r="G207" s="128"/>
      <c r="H207" s="121"/>
      <c r="I207" s="127">
        <f t="shared" ref="I207:I213" si="69">J207*4+K207*4+L207*9</f>
        <v>0</v>
      </c>
      <c r="J207" s="127"/>
      <c r="K207" s="127"/>
      <c r="L207" s="127"/>
      <c r="M207" s="121"/>
      <c r="N207" s="128"/>
      <c r="O207" s="127"/>
      <c r="P207" s="127"/>
      <c r="Q207" s="97"/>
      <c r="R207" s="97"/>
      <c r="S207" s="97"/>
      <c r="T207" s="97"/>
      <c r="U207" s="97"/>
      <c r="V207" s="97"/>
      <c r="W207" s="97"/>
      <c r="X207" s="142"/>
      <c r="Y207" s="142"/>
      <c r="Z207" s="142"/>
    </row>
    <row r="208">
      <c r="A208" s="104"/>
      <c r="B208" s="121"/>
      <c r="C208" s="132">
        <f t="shared" ref="C208:C213" si="70">IF(ISBLANK($C$9),"",C207+1)</f>
        <v>45825</v>
      </c>
      <c r="D208" s="133"/>
      <c r="E208" s="121"/>
      <c r="F208" s="134" t="str">
        <f t="shared" ref="F208:F213" si="71">IF(ISNUMBER(F207),F207+1,"")</f>
        <v/>
      </c>
      <c r="G208" s="134"/>
      <c r="H208" s="121"/>
      <c r="I208" s="133">
        <f t="shared" si="69"/>
        <v>0</v>
      </c>
      <c r="J208" s="133"/>
      <c r="K208" s="133"/>
      <c r="L208" s="133"/>
      <c r="M208" s="121"/>
      <c r="N208" s="134"/>
      <c r="O208" s="133"/>
      <c r="P208" s="133"/>
      <c r="Q208" s="97"/>
      <c r="R208" s="97"/>
      <c r="S208" s="97"/>
      <c r="T208" s="97"/>
      <c r="U208" s="97"/>
      <c r="V208" s="97"/>
      <c r="W208" s="97"/>
      <c r="X208" s="142"/>
      <c r="Y208" s="142"/>
      <c r="Z208" s="142"/>
    </row>
    <row r="209">
      <c r="A209" s="104"/>
      <c r="B209" s="121"/>
      <c r="C209" s="132">
        <f t="shared" si="70"/>
        <v>45826</v>
      </c>
      <c r="D209" s="133"/>
      <c r="E209" s="121"/>
      <c r="F209" s="134" t="str">
        <f t="shared" si="71"/>
        <v/>
      </c>
      <c r="G209" s="134"/>
      <c r="H209" s="121"/>
      <c r="I209" s="133">
        <f t="shared" si="69"/>
        <v>0</v>
      </c>
      <c r="J209" s="133"/>
      <c r="K209" s="133"/>
      <c r="L209" s="133"/>
      <c r="M209" s="121"/>
      <c r="N209" s="134"/>
      <c r="O209" s="133"/>
      <c r="P209" s="133"/>
      <c r="Q209" s="97"/>
      <c r="R209" s="97"/>
      <c r="S209" s="97"/>
      <c r="T209" s="97"/>
      <c r="U209" s="97"/>
      <c r="V209" s="97"/>
      <c r="W209" s="97"/>
      <c r="X209" s="142"/>
      <c r="Y209" s="142"/>
      <c r="Z209" s="142"/>
    </row>
    <row r="210">
      <c r="A210" s="104"/>
      <c r="B210" s="121"/>
      <c r="C210" s="132">
        <f t="shared" si="70"/>
        <v>45827</v>
      </c>
      <c r="D210" s="133"/>
      <c r="E210" s="121"/>
      <c r="F210" s="134" t="str">
        <f t="shared" si="71"/>
        <v/>
      </c>
      <c r="G210" s="134"/>
      <c r="H210" s="121"/>
      <c r="I210" s="133">
        <f t="shared" si="69"/>
        <v>0</v>
      </c>
      <c r="J210" s="134"/>
      <c r="K210" s="134"/>
      <c r="L210" s="134"/>
      <c r="M210" s="121"/>
      <c r="N210" s="134"/>
      <c r="O210" s="133"/>
      <c r="P210" s="134"/>
      <c r="Q210" s="97"/>
      <c r="R210" s="97"/>
      <c r="S210" s="97"/>
      <c r="T210" s="97"/>
      <c r="U210" s="97"/>
      <c r="V210" s="97"/>
      <c r="W210" s="97"/>
      <c r="X210" s="142"/>
      <c r="Y210" s="142"/>
      <c r="Z210" s="142"/>
    </row>
    <row r="211">
      <c r="A211" s="104"/>
      <c r="B211" s="121"/>
      <c r="C211" s="132">
        <f t="shared" si="70"/>
        <v>45828</v>
      </c>
      <c r="D211" s="133"/>
      <c r="E211" s="121"/>
      <c r="F211" s="134" t="str">
        <f t="shared" si="71"/>
        <v/>
      </c>
      <c r="G211" s="134"/>
      <c r="H211" s="121"/>
      <c r="I211" s="133">
        <f t="shared" si="69"/>
        <v>0</v>
      </c>
      <c r="J211" s="134"/>
      <c r="K211" s="134"/>
      <c r="L211" s="134"/>
      <c r="M211" s="121"/>
      <c r="N211" s="134"/>
      <c r="O211" s="133"/>
      <c r="P211" s="133"/>
      <c r="Q211" s="97"/>
      <c r="R211" s="97"/>
      <c r="S211" s="97"/>
      <c r="T211" s="97"/>
      <c r="U211" s="97"/>
      <c r="V211" s="97"/>
      <c r="W211" s="97"/>
      <c r="X211" s="142"/>
      <c r="Y211" s="142"/>
      <c r="Z211" s="142"/>
    </row>
    <row r="212">
      <c r="A212" s="104"/>
      <c r="B212" s="121"/>
      <c r="C212" s="132">
        <f t="shared" si="70"/>
        <v>45829</v>
      </c>
      <c r="D212" s="133"/>
      <c r="E212" s="121"/>
      <c r="F212" s="134" t="str">
        <f t="shared" si="71"/>
        <v/>
      </c>
      <c r="G212" s="134"/>
      <c r="H212" s="121"/>
      <c r="I212" s="133">
        <f t="shared" si="69"/>
        <v>0</v>
      </c>
      <c r="J212" s="134"/>
      <c r="K212" s="134"/>
      <c r="L212" s="134"/>
      <c r="M212" s="121"/>
      <c r="N212" s="134"/>
      <c r="O212" s="133"/>
      <c r="P212" s="133"/>
      <c r="Q212" s="97"/>
      <c r="R212" s="97"/>
      <c r="S212" s="97"/>
      <c r="T212" s="97"/>
      <c r="U212" s="97"/>
      <c r="V212" s="97"/>
      <c r="W212" s="97"/>
      <c r="X212" s="142"/>
      <c r="Y212" s="142"/>
      <c r="Z212" s="142"/>
    </row>
    <row r="213">
      <c r="A213" s="104"/>
      <c r="B213" s="121"/>
      <c r="C213" s="135">
        <f t="shared" si="70"/>
        <v>45830</v>
      </c>
      <c r="D213" s="136"/>
      <c r="E213" s="121"/>
      <c r="F213" s="137" t="str">
        <f t="shared" si="71"/>
        <v/>
      </c>
      <c r="G213" s="137"/>
      <c r="H213" s="121"/>
      <c r="I213" s="136">
        <f t="shared" si="69"/>
        <v>0</v>
      </c>
      <c r="J213" s="137"/>
      <c r="K213" s="137"/>
      <c r="L213" s="137"/>
      <c r="M213" s="121"/>
      <c r="N213" s="137"/>
      <c r="O213" s="136"/>
      <c r="P213" s="137"/>
      <c r="Q213" s="97"/>
      <c r="R213" s="97"/>
      <c r="S213" s="97"/>
      <c r="T213" s="97"/>
      <c r="U213" s="97"/>
      <c r="V213" s="97"/>
      <c r="W213" s="97"/>
      <c r="X213" s="142"/>
      <c r="Y213" s="142"/>
      <c r="Z213" s="142"/>
    </row>
    <row r="214">
      <c r="A214" s="104"/>
      <c r="B214" s="138"/>
      <c r="C214" s="112" t="s">
        <v>51</v>
      </c>
      <c r="D214" s="116">
        <f>IFERROR(ROUND(AVERAGE(D207:D213),1),0)</f>
        <v>0</v>
      </c>
      <c r="E214" s="138"/>
      <c r="F214" s="115" t="s">
        <v>52</v>
      </c>
      <c r="G214" s="11"/>
      <c r="H214" s="138"/>
      <c r="I214" s="116">
        <f>IFERROR(ROUND(AVERAGEIF(I207:I213,"&lt;&gt;0"),0),0)</f>
        <v>0</v>
      </c>
      <c r="J214" s="116">
        <f t="shared" ref="J214:L214" si="72">IFERROR(ROUND(AVERAGE(J207:J213),0),0)</f>
        <v>0</v>
      </c>
      <c r="K214" s="116">
        <f t="shared" si="72"/>
        <v>0</v>
      </c>
      <c r="L214" s="116">
        <f t="shared" si="72"/>
        <v>0</v>
      </c>
      <c r="M214" s="138"/>
      <c r="N214" s="116">
        <f>IFERROR(ROUND(AVERAGE(N207:N213),0),0)</f>
        <v>0</v>
      </c>
      <c r="O214" s="116">
        <f>IFERROR(SUM(O207:O213),0)</f>
        <v>0</v>
      </c>
      <c r="P214" s="116">
        <f>IFERROR(COUNTA(P207:P213),0)</f>
        <v>0</v>
      </c>
      <c r="Q214" s="97"/>
      <c r="R214" s="97"/>
      <c r="S214" s="97"/>
      <c r="T214" s="97"/>
      <c r="U214" s="97"/>
      <c r="V214" s="97"/>
      <c r="W214" s="97"/>
      <c r="X214" s="142"/>
      <c r="Y214" s="142"/>
      <c r="Z214" s="142"/>
    </row>
    <row r="215">
      <c r="A215" s="97"/>
      <c r="B215" s="109"/>
      <c r="C215" s="97"/>
      <c r="D215" s="98"/>
      <c r="E215" s="140"/>
      <c r="F215" s="140"/>
      <c r="G215" s="140"/>
      <c r="H215" s="140"/>
      <c r="I215" s="140"/>
      <c r="J215" s="140"/>
      <c r="K215" s="140"/>
      <c r="L215" s="140"/>
      <c r="M215" s="140"/>
      <c r="N215" s="98"/>
      <c r="O215" s="98"/>
      <c r="P215" s="98"/>
      <c r="Q215" s="97"/>
      <c r="R215" s="97"/>
      <c r="S215" s="97"/>
      <c r="T215" s="97"/>
      <c r="U215" s="97"/>
      <c r="V215" s="97"/>
      <c r="W215" s="97"/>
      <c r="X215" s="142"/>
      <c r="Y215" s="142"/>
      <c r="Z215" s="142"/>
    </row>
    <row r="216">
      <c r="A216" s="97"/>
      <c r="B216" s="112" t="s">
        <v>30</v>
      </c>
      <c r="C216" s="112" t="s">
        <v>31</v>
      </c>
      <c r="D216" s="113" t="s">
        <v>200</v>
      </c>
      <c r="E216" s="114" t="s">
        <v>33</v>
      </c>
      <c r="F216" s="115" t="s">
        <v>201</v>
      </c>
      <c r="G216" s="11"/>
      <c r="H216" s="114" t="s">
        <v>35</v>
      </c>
      <c r="I216" s="113" t="s">
        <v>202</v>
      </c>
      <c r="J216" s="113" t="s">
        <v>203</v>
      </c>
      <c r="K216" s="113" t="s">
        <v>204</v>
      </c>
      <c r="L216" s="113" t="s">
        <v>205</v>
      </c>
      <c r="M216" s="114" t="s">
        <v>40</v>
      </c>
      <c r="N216" s="113" t="s">
        <v>25</v>
      </c>
      <c r="O216" s="116" t="s">
        <v>206</v>
      </c>
      <c r="P216" s="113" t="s">
        <v>207</v>
      </c>
      <c r="Q216" s="97"/>
      <c r="R216" s="97"/>
      <c r="S216" s="97"/>
      <c r="T216" s="97"/>
      <c r="U216" s="97"/>
      <c r="V216" s="97"/>
      <c r="W216" s="97"/>
      <c r="X216" s="142"/>
      <c r="Y216" s="142"/>
      <c r="Z216" s="142"/>
    </row>
    <row r="217">
      <c r="A217" s="104"/>
      <c r="B217" s="118">
        <f>B206+1</f>
        <v>20</v>
      </c>
      <c r="C217" s="119" t="s">
        <v>43</v>
      </c>
      <c r="D217" s="120" t="s">
        <v>44</v>
      </c>
      <c r="E217" s="121"/>
      <c r="F217" s="122" t="s">
        <v>45</v>
      </c>
      <c r="G217" s="11"/>
      <c r="H217" s="121"/>
      <c r="I217" s="123" t="s">
        <v>46</v>
      </c>
      <c r="J217" s="10"/>
      <c r="K217" s="10"/>
      <c r="L217" s="11"/>
      <c r="M217" s="121"/>
      <c r="N217" s="119"/>
      <c r="O217" s="119"/>
      <c r="P217" s="120"/>
      <c r="Q217" s="141"/>
      <c r="R217" s="141"/>
      <c r="S217" s="141"/>
      <c r="T217" s="141"/>
      <c r="U217" s="141"/>
      <c r="V217" s="141"/>
      <c r="W217" s="141"/>
      <c r="X217" s="142"/>
      <c r="Y217" s="142"/>
      <c r="Z217" s="142"/>
    </row>
    <row r="218">
      <c r="A218" s="104"/>
      <c r="B218" s="121"/>
      <c r="C218" s="126">
        <f>IF(ISBLANK($C$9),"",C213+1)</f>
        <v>45831</v>
      </c>
      <c r="D218" s="127"/>
      <c r="E218" s="121"/>
      <c r="F218" s="127" t="str">
        <f>IF(ISNUMBER(F213),F213+1,"")</f>
        <v/>
      </c>
      <c r="G218" s="128"/>
      <c r="H218" s="121"/>
      <c r="I218" s="127">
        <f t="shared" ref="I218:I224" si="73">J218*4+K218*4+L218*9</f>
        <v>0</v>
      </c>
      <c r="J218" s="127"/>
      <c r="K218" s="127"/>
      <c r="L218" s="127"/>
      <c r="M218" s="121"/>
      <c r="N218" s="128"/>
      <c r="O218" s="127"/>
      <c r="P218" s="127"/>
      <c r="Q218" s="97"/>
      <c r="R218" s="97"/>
      <c r="S218" s="97"/>
      <c r="T218" s="97"/>
      <c r="U218" s="97"/>
      <c r="V218" s="97"/>
      <c r="W218" s="97"/>
      <c r="X218" s="142"/>
      <c r="Y218" s="142"/>
      <c r="Z218" s="142"/>
    </row>
    <row r="219">
      <c r="A219" s="104"/>
      <c r="B219" s="121"/>
      <c r="C219" s="132">
        <f t="shared" ref="C219:C224" si="74">IF(ISBLANK($C$9),"",C218+1)</f>
        <v>45832</v>
      </c>
      <c r="D219" s="133"/>
      <c r="E219" s="121"/>
      <c r="F219" s="134" t="str">
        <f t="shared" ref="F219:F224" si="75">IF(ISNUMBER(F218),F218+1,"")</f>
        <v/>
      </c>
      <c r="G219" s="134"/>
      <c r="H219" s="121"/>
      <c r="I219" s="133">
        <f t="shared" si="73"/>
        <v>0</v>
      </c>
      <c r="J219" s="133"/>
      <c r="K219" s="133"/>
      <c r="L219" s="133"/>
      <c r="M219" s="121"/>
      <c r="N219" s="134"/>
      <c r="O219" s="133"/>
      <c r="P219" s="133"/>
      <c r="Q219" s="97"/>
      <c r="R219" s="97"/>
      <c r="S219" s="97"/>
      <c r="T219" s="97"/>
      <c r="U219" s="97"/>
      <c r="V219" s="97"/>
      <c r="W219" s="97"/>
      <c r="X219" s="142"/>
      <c r="Y219" s="142"/>
      <c r="Z219" s="142"/>
    </row>
    <row r="220">
      <c r="A220" s="104"/>
      <c r="B220" s="121"/>
      <c r="C220" s="132">
        <f t="shared" si="74"/>
        <v>45833</v>
      </c>
      <c r="D220" s="133"/>
      <c r="E220" s="121"/>
      <c r="F220" s="134" t="str">
        <f t="shared" si="75"/>
        <v/>
      </c>
      <c r="G220" s="134"/>
      <c r="H220" s="121"/>
      <c r="I220" s="133">
        <f t="shared" si="73"/>
        <v>0</v>
      </c>
      <c r="J220" s="133"/>
      <c r="K220" s="133"/>
      <c r="L220" s="133"/>
      <c r="M220" s="121"/>
      <c r="N220" s="134"/>
      <c r="O220" s="133"/>
      <c r="P220" s="133"/>
      <c r="Q220" s="97"/>
      <c r="R220" s="97"/>
      <c r="S220" s="97"/>
      <c r="T220" s="97"/>
      <c r="U220" s="97"/>
      <c r="V220" s="97"/>
      <c r="W220" s="97"/>
      <c r="X220" s="142"/>
      <c r="Y220" s="142"/>
      <c r="Z220" s="142"/>
    </row>
    <row r="221">
      <c r="A221" s="104"/>
      <c r="B221" s="121"/>
      <c r="C221" s="132">
        <f t="shared" si="74"/>
        <v>45834</v>
      </c>
      <c r="D221" s="133"/>
      <c r="E221" s="121"/>
      <c r="F221" s="134" t="str">
        <f t="shared" si="75"/>
        <v/>
      </c>
      <c r="G221" s="134"/>
      <c r="H221" s="121"/>
      <c r="I221" s="133">
        <f t="shared" si="73"/>
        <v>0</v>
      </c>
      <c r="J221" s="134"/>
      <c r="K221" s="134"/>
      <c r="L221" s="134"/>
      <c r="M221" s="121"/>
      <c r="N221" s="134"/>
      <c r="O221" s="133"/>
      <c r="P221" s="134"/>
      <c r="Q221" s="97"/>
      <c r="R221" s="97"/>
      <c r="S221" s="97"/>
      <c r="T221" s="97"/>
      <c r="U221" s="97"/>
      <c r="V221" s="97"/>
      <c r="W221" s="97"/>
      <c r="X221" s="142"/>
      <c r="Y221" s="142"/>
      <c r="Z221" s="142"/>
    </row>
    <row r="222">
      <c r="A222" s="104"/>
      <c r="B222" s="121"/>
      <c r="C222" s="132">
        <f t="shared" si="74"/>
        <v>45835</v>
      </c>
      <c r="D222" s="133"/>
      <c r="E222" s="121"/>
      <c r="F222" s="134" t="str">
        <f t="shared" si="75"/>
        <v/>
      </c>
      <c r="G222" s="134"/>
      <c r="H222" s="121"/>
      <c r="I222" s="133">
        <f t="shared" si="73"/>
        <v>0</v>
      </c>
      <c r="J222" s="134"/>
      <c r="K222" s="134"/>
      <c r="L222" s="134"/>
      <c r="M222" s="121"/>
      <c r="N222" s="134"/>
      <c r="O222" s="133"/>
      <c r="P222" s="133"/>
      <c r="Q222" s="97"/>
      <c r="R222" s="97"/>
      <c r="S222" s="97"/>
      <c r="T222" s="97"/>
      <c r="U222" s="97"/>
      <c r="V222" s="97"/>
      <c r="W222" s="97"/>
      <c r="X222" s="142"/>
      <c r="Y222" s="142"/>
      <c r="Z222" s="142"/>
    </row>
    <row r="223">
      <c r="A223" s="104"/>
      <c r="B223" s="121"/>
      <c r="C223" s="132">
        <f t="shared" si="74"/>
        <v>45836</v>
      </c>
      <c r="D223" s="133"/>
      <c r="E223" s="121"/>
      <c r="F223" s="134" t="str">
        <f t="shared" si="75"/>
        <v/>
      </c>
      <c r="G223" s="134"/>
      <c r="H223" s="121"/>
      <c r="I223" s="133">
        <f t="shared" si="73"/>
        <v>0</v>
      </c>
      <c r="J223" s="134"/>
      <c r="K223" s="134"/>
      <c r="L223" s="134"/>
      <c r="M223" s="121"/>
      <c r="N223" s="134"/>
      <c r="O223" s="133"/>
      <c r="P223" s="133"/>
      <c r="Q223" s="97"/>
      <c r="R223" s="97"/>
      <c r="S223" s="97"/>
      <c r="T223" s="97"/>
      <c r="U223" s="97"/>
      <c r="V223" s="97"/>
      <c r="W223" s="97"/>
      <c r="X223" s="142"/>
      <c r="Y223" s="142"/>
      <c r="Z223" s="142"/>
    </row>
    <row r="224">
      <c r="A224" s="104"/>
      <c r="B224" s="121"/>
      <c r="C224" s="135">
        <f t="shared" si="74"/>
        <v>45837</v>
      </c>
      <c r="D224" s="136"/>
      <c r="E224" s="121"/>
      <c r="F224" s="137" t="str">
        <f t="shared" si="75"/>
        <v/>
      </c>
      <c r="G224" s="137"/>
      <c r="H224" s="121"/>
      <c r="I224" s="136">
        <f t="shared" si="73"/>
        <v>0</v>
      </c>
      <c r="J224" s="137"/>
      <c r="K224" s="137"/>
      <c r="L224" s="137"/>
      <c r="M224" s="121"/>
      <c r="N224" s="137"/>
      <c r="O224" s="136"/>
      <c r="P224" s="137"/>
      <c r="Q224" s="97"/>
      <c r="R224" s="97"/>
      <c r="S224" s="97"/>
      <c r="T224" s="97"/>
      <c r="U224" s="97"/>
      <c r="V224" s="97"/>
      <c r="W224" s="97"/>
      <c r="X224" s="142"/>
      <c r="Y224" s="142"/>
      <c r="Z224" s="142"/>
    </row>
    <row r="225">
      <c r="A225" s="104"/>
      <c r="B225" s="138"/>
      <c r="C225" s="112" t="s">
        <v>51</v>
      </c>
      <c r="D225" s="116">
        <f>IFERROR(ROUND(AVERAGE(D218:D224),1),0)</f>
        <v>0</v>
      </c>
      <c r="E225" s="138"/>
      <c r="F225" s="115" t="s">
        <v>52</v>
      </c>
      <c r="G225" s="11"/>
      <c r="H225" s="138"/>
      <c r="I225" s="116">
        <f>IFERROR(ROUND(AVERAGEIF(I218:I224,"&lt;&gt;0"),0),0)</f>
        <v>0</v>
      </c>
      <c r="J225" s="116">
        <f t="shared" ref="J225:L225" si="76">IFERROR(ROUND(AVERAGE(J218:J224),0),0)</f>
        <v>0</v>
      </c>
      <c r="K225" s="116">
        <f t="shared" si="76"/>
        <v>0</v>
      </c>
      <c r="L225" s="116">
        <f t="shared" si="76"/>
        <v>0</v>
      </c>
      <c r="M225" s="138"/>
      <c r="N225" s="116">
        <f>IFERROR(ROUND(AVERAGE(N218:N224),0),0)</f>
        <v>0</v>
      </c>
      <c r="O225" s="116">
        <f>IFERROR(SUM(O218:O224),0)</f>
        <v>0</v>
      </c>
      <c r="P225" s="116">
        <f>IFERROR(COUNTA(P218:P224),0)</f>
        <v>0</v>
      </c>
      <c r="Q225" s="97"/>
      <c r="R225" s="97"/>
      <c r="S225" s="97"/>
      <c r="T225" s="97"/>
      <c r="U225" s="97"/>
      <c r="V225" s="97"/>
      <c r="W225" s="97"/>
      <c r="X225" s="142"/>
      <c r="Y225" s="142"/>
      <c r="Z225" s="142"/>
    </row>
    <row r="226">
      <c r="A226" s="97"/>
      <c r="B226" s="109"/>
      <c r="C226" s="97"/>
      <c r="D226" s="98"/>
      <c r="E226" s="140"/>
      <c r="F226" s="140"/>
      <c r="G226" s="140"/>
      <c r="H226" s="140"/>
      <c r="I226" s="140"/>
      <c r="J226" s="140"/>
      <c r="K226" s="140"/>
      <c r="L226" s="140"/>
      <c r="M226" s="140"/>
      <c r="N226" s="98"/>
      <c r="O226" s="98"/>
      <c r="P226" s="98"/>
      <c r="Q226" s="97"/>
      <c r="R226" s="97"/>
      <c r="S226" s="97"/>
      <c r="T226" s="97"/>
      <c r="U226" s="97"/>
      <c r="V226" s="97"/>
      <c r="W226" s="97"/>
      <c r="X226" s="142"/>
      <c r="Y226" s="142"/>
      <c r="Z226" s="142"/>
    </row>
    <row r="227">
      <c r="A227" s="97"/>
      <c r="B227" s="112" t="s">
        <v>30</v>
      </c>
      <c r="C227" s="112" t="s">
        <v>31</v>
      </c>
      <c r="D227" s="113" t="s">
        <v>208</v>
      </c>
      <c r="E227" s="114" t="s">
        <v>33</v>
      </c>
      <c r="F227" s="115" t="s">
        <v>209</v>
      </c>
      <c r="G227" s="11"/>
      <c r="H227" s="114" t="s">
        <v>35</v>
      </c>
      <c r="I227" s="113" t="s">
        <v>210</v>
      </c>
      <c r="J227" s="113" t="s">
        <v>211</v>
      </c>
      <c r="K227" s="113" t="s">
        <v>212</v>
      </c>
      <c r="L227" s="113" t="s">
        <v>213</v>
      </c>
      <c r="M227" s="114" t="s">
        <v>40</v>
      </c>
      <c r="N227" s="113" t="s">
        <v>25</v>
      </c>
      <c r="O227" s="116" t="s">
        <v>214</v>
      </c>
      <c r="P227" s="113" t="s">
        <v>215</v>
      </c>
      <c r="Q227" s="97"/>
      <c r="R227" s="97"/>
      <c r="S227" s="97"/>
      <c r="T227" s="97"/>
      <c r="U227" s="97"/>
      <c r="V227" s="97"/>
      <c r="W227" s="97"/>
      <c r="X227" s="142"/>
      <c r="Y227" s="142"/>
      <c r="Z227" s="142"/>
    </row>
    <row r="228">
      <c r="A228" s="104"/>
      <c r="B228" s="118">
        <f>B217+1</f>
        <v>21</v>
      </c>
      <c r="C228" s="119" t="s">
        <v>43</v>
      </c>
      <c r="D228" s="120" t="s">
        <v>44</v>
      </c>
      <c r="E228" s="121"/>
      <c r="F228" s="122" t="s">
        <v>45</v>
      </c>
      <c r="G228" s="11"/>
      <c r="H228" s="121"/>
      <c r="I228" s="123" t="s">
        <v>46</v>
      </c>
      <c r="J228" s="10"/>
      <c r="K228" s="10"/>
      <c r="L228" s="11"/>
      <c r="M228" s="121"/>
      <c r="N228" s="119"/>
      <c r="O228" s="119"/>
      <c r="P228" s="120"/>
      <c r="Q228" s="141"/>
      <c r="R228" s="141"/>
      <c r="S228" s="141"/>
      <c r="T228" s="141"/>
      <c r="U228" s="141"/>
      <c r="V228" s="141"/>
      <c r="W228" s="141"/>
      <c r="X228" s="142"/>
      <c r="Y228" s="142"/>
      <c r="Z228" s="142"/>
    </row>
    <row r="229">
      <c r="A229" s="104"/>
      <c r="B229" s="121"/>
      <c r="C229" s="126">
        <f>IF(ISBLANK($C$9),"",C224+1)</f>
        <v>45838</v>
      </c>
      <c r="D229" s="127"/>
      <c r="E229" s="121"/>
      <c r="F229" s="127" t="str">
        <f>IF(ISNUMBER(F224),F224+1,"")</f>
        <v/>
      </c>
      <c r="G229" s="128"/>
      <c r="H229" s="121"/>
      <c r="I229" s="127">
        <f t="shared" ref="I229:I235" si="77">J229*4+K229*4+L229*9</f>
        <v>0</v>
      </c>
      <c r="J229" s="127"/>
      <c r="K229" s="127"/>
      <c r="L229" s="127"/>
      <c r="M229" s="121"/>
      <c r="N229" s="128"/>
      <c r="O229" s="127"/>
      <c r="P229" s="127"/>
      <c r="Q229" s="97"/>
      <c r="R229" s="97"/>
      <c r="S229" s="97"/>
      <c r="T229" s="97"/>
      <c r="U229" s="97"/>
      <c r="V229" s="97"/>
      <c r="W229" s="97"/>
      <c r="X229" s="142"/>
      <c r="Y229" s="142"/>
      <c r="Z229" s="142"/>
    </row>
    <row r="230">
      <c r="A230" s="104"/>
      <c r="B230" s="121"/>
      <c r="C230" s="132">
        <f t="shared" ref="C230:C235" si="78">IF(ISBLANK($C$9),"",C229+1)</f>
        <v>45839</v>
      </c>
      <c r="D230" s="133"/>
      <c r="E230" s="121"/>
      <c r="F230" s="134" t="str">
        <f t="shared" ref="F230:F235" si="79">IF(ISNUMBER(F229),F229+1,"")</f>
        <v/>
      </c>
      <c r="G230" s="134"/>
      <c r="H230" s="121"/>
      <c r="I230" s="133">
        <f t="shared" si="77"/>
        <v>0</v>
      </c>
      <c r="J230" s="133"/>
      <c r="K230" s="133"/>
      <c r="L230" s="133"/>
      <c r="M230" s="121"/>
      <c r="N230" s="134"/>
      <c r="O230" s="133"/>
      <c r="P230" s="133"/>
      <c r="Q230" s="97"/>
      <c r="R230" s="97"/>
      <c r="S230" s="97"/>
      <c r="T230" s="97"/>
      <c r="U230" s="97"/>
      <c r="V230" s="97"/>
      <c r="W230" s="97"/>
      <c r="X230" s="142"/>
      <c r="Y230" s="142"/>
      <c r="Z230" s="142"/>
    </row>
    <row r="231">
      <c r="A231" s="104"/>
      <c r="B231" s="121"/>
      <c r="C231" s="132">
        <f t="shared" si="78"/>
        <v>45840</v>
      </c>
      <c r="D231" s="133"/>
      <c r="E231" s="121"/>
      <c r="F231" s="134" t="str">
        <f t="shared" si="79"/>
        <v/>
      </c>
      <c r="G231" s="134"/>
      <c r="H231" s="121"/>
      <c r="I231" s="133">
        <f t="shared" si="77"/>
        <v>0</v>
      </c>
      <c r="J231" s="133"/>
      <c r="K231" s="133"/>
      <c r="L231" s="133"/>
      <c r="M231" s="121"/>
      <c r="N231" s="134"/>
      <c r="O231" s="133"/>
      <c r="P231" s="133"/>
      <c r="Q231" s="97"/>
      <c r="R231" s="97"/>
      <c r="S231" s="97"/>
      <c r="T231" s="97"/>
      <c r="U231" s="97"/>
      <c r="V231" s="97"/>
      <c r="W231" s="97"/>
      <c r="X231" s="142"/>
      <c r="Y231" s="142"/>
      <c r="Z231" s="142"/>
    </row>
    <row r="232">
      <c r="A232" s="104"/>
      <c r="B232" s="121"/>
      <c r="C232" s="132">
        <f t="shared" si="78"/>
        <v>45841</v>
      </c>
      <c r="D232" s="133"/>
      <c r="E232" s="121"/>
      <c r="F232" s="134" t="str">
        <f t="shared" si="79"/>
        <v/>
      </c>
      <c r="G232" s="134"/>
      <c r="H232" s="121"/>
      <c r="I232" s="133">
        <f t="shared" si="77"/>
        <v>0</v>
      </c>
      <c r="J232" s="134"/>
      <c r="K232" s="134"/>
      <c r="L232" s="134"/>
      <c r="M232" s="121"/>
      <c r="N232" s="134"/>
      <c r="O232" s="133"/>
      <c r="P232" s="134"/>
      <c r="Q232" s="97"/>
      <c r="R232" s="97"/>
      <c r="S232" s="97"/>
      <c r="T232" s="97"/>
      <c r="U232" s="97"/>
      <c r="V232" s="97"/>
      <c r="W232" s="97"/>
      <c r="X232" s="142"/>
      <c r="Y232" s="142"/>
      <c r="Z232" s="142"/>
    </row>
    <row r="233">
      <c r="A233" s="104"/>
      <c r="B233" s="121"/>
      <c r="C233" s="132">
        <f t="shared" si="78"/>
        <v>45842</v>
      </c>
      <c r="D233" s="133"/>
      <c r="E233" s="121"/>
      <c r="F233" s="134" t="str">
        <f t="shared" si="79"/>
        <v/>
      </c>
      <c r="G233" s="134"/>
      <c r="H233" s="121"/>
      <c r="I233" s="133">
        <f t="shared" si="77"/>
        <v>0</v>
      </c>
      <c r="J233" s="134"/>
      <c r="K233" s="134"/>
      <c r="L233" s="134"/>
      <c r="M233" s="121"/>
      <c r="N233" s="134"/>
      <c r="O233" s="133"/>
      <c r="P233" s="133"/>
      <c r="Q233" s="97"/>
      <c r="R233" s="97"/>
      <c r="S233" s="97"/>
      <c r="T233" s="97"/>
      <c r="U233" s="97"/>
      <c r="V233" s="97"/>
      <c r="W233" s="97"/>
      <c r="X233" s="142"/>
      <c r="Y233" s="142"/>
      <c r="Z233" s="142"/>
    </row>
    <row r="234">
      <c r="A234" s="104"/>
      <c r="B234" s="121"/>
      <c r="C234" s="132">
        <f t="shared" si="78"/>
        <v>45843</v>
      </c>
      <c r="D234" s="133"/>
      <c r="E234" s="121"/>
      <c r="F234" s="134" t="str">
        <f t="shared" si="79"/>
        <v/>
      </c>
      <c r="G234" s="134"/>
      <c r="H234" s="121"/>
      <c r="I234" s="133">
        <f t="shared" si="77"/>
        <v>0</v>
      </c>
      <c r="J234" s="134"/>
      <c r="K234" s="134"/>
      <c r="L234" s="134"/>
      <c r="M234" s="121"/>
      <c r="N234" s="134"/>
      <c r="O234" s="133"/>
      <c r="P234" s="133"/>
      <c r="Q234" s="97"/>
      <c r="R234" s="97"/>
      <c r="S234" s="97"/>
      <c r="T234" s="97"/>
      <c r="U234" s="97"/>
      <c r="V234" s="97"/>
      <c r="W234" s="97"/>
      <c r="X234" s="142"/>
      <c r="Y234" s="142"/>
      <c r="Z234" s="142"/>
    </row>
    <row r="235">
      <c r="A235" s="104"/>
      <c r="B235" s="121"/>
      <c r="C235" s="135">
        <f t="shared" si="78"/>
        <v>45844</v>
      </c>
      <c r="D235" s="136"/>
      <c r="E235" s="121"/>
      <c r="F235" s="137" t="str">
        <f t="shared" si="79"/>
        <v/>
      </c>
      <c r="G235" s="137"/>
      <c r="H235" s="121"/>
      <c r="I235" s="136">
        <f t="shared" si="77"/>
        <v>0</v>
      </c>
      <c r="J235" s="137"/>
      <c r="K235" s="137"/>
      <c r="L235" s="137"/>
      <c r="M235" s="121"/>
      <c r="N235" s="137"/>
      <c r="O235" s="136"/>
      <c r="P235" s="137"/>
      <c r="Q235" s="97"/>
      <c r="R235" s="97"/>
      <c r="S235" s="97"/>
      <c r="T235" s="97"/>
      <c r="U235" s="97"/>
      <c r="V235" s="97"/>
      <c r="W235" s="97"/>
      <c r="X235" s="142"/>
      <c r="Y235" s="142"/>
      <c r="Z235" s="142"/>
    </row>
    <row r="236">
      <c r="A236" s="104"/>
      <c r="B236" s="138"/>
      <c r="C236" s="112" t="s">
        <v>51</v>
      </c>
      <c r="D236" s="116">
        <f>IFERROR(ROUND(AVERAGE(D229:D235),1),0)</f>
        <v>0</v>
      </c>
      <c r="E236" s="138"/>
      <c r="F236" s="115" t="s">
        <v>52</v>
      </c>
      <c r="G236" s="11"/>
      <c r="H236" s="138"/>
      <c r="I236" s="116">
        <f>IFERROR(ROUND(AVERAGEIF(I229:I235,"&lt;&gt;0"),0),0)</f>
        <v>0</v>
      </c>
      <c r="J236" s="116">
        <f t="shared" ref="J236:L236" si="80">IFERROR(ROUND(AVERAGE(J229:J235),0),0)</f>
        <v>0</v>
      </c>
      <c r="K236" s="116">
        <f t="shared" si="80"/>
        <v>0</v>
      </c>
      <c r="L236" s="116">
        <f t="shared" si="80"/>
        <v>0</v>
      </c>
      <c r="M236" s="138"/>
      <c r="N236" s="116">
        <f>IFERROR(ROUND(AVERAGE(N229:N235),0),0)</f>
        <v>0</v>
      </c>
      <c r="O236" s="116">
        <f>IFERROR(SUM(O229:O235),0)</f>
        <v>0</v>
      </c>
      <c r="P236" s="116">
        <f>IFERROR(COUNTA(P229:P235),0)</f>
        <v>0</v>
      </c>
      <c r="Q236" s="97"/>
      <c r="R236" s="97"/>
      <c r="S236" s="97"/>
      <c r="T236" s="97"/>
      <c r="U236" s="97"/>
      <c r="V236" s="97"/>
      <c r="W236" s="97"/>
      <c r="X236" s="142"/>
      <c r="Y236" s="142"/>
      <c r="Z236" s="142"/>
    </row>
    <row r="237">
      <c r="A237" s="97"/>
      <c r="B237" s="109"/>
      <c r="C237" s="97"/>
      <c r="D237" s="98"/>
      <c r="E237" s="140"/>
      <c r="F237" s="140"/>
      <c r="G237" s="140"/>
      <c r="H237" s="140"/>
      <c r="I237" s="140"/>
      <c r="J237" s="140"/>
      <c r="K237" s="140"/>
      <c r="L237" s="140"/>
      <c r="M237" s="140"/>
      <c r="N237" s="98"/>
      <c r="O237" s="98"/>
      <c r="P237" s="98"/>
      <c r="Q237" s="97"/>
      <c r="R237" s="97"/>
      <c r="S237" s="97"/>
      <c r="T237" s="97"/>
      <c r="U237" s="97"/>
      <c r="V237" s="97"/>
      <c r="W237" s="97"/>
      <c r="X237" s="142"/>
      <c r="Y237" s="142"/>
      <c r="Z237" s="142"/>
    </row>
    <row r="238">
      <c r="A238" s="97"/>
      <c r="B238" s="112" t="s">
        <v>30</v>
      </c>
      <c r="C238" s="112" t="s">
        <v>31</v>
      </c>
      <c r="D238" s="113" t="s">
        <v>216</v>
      </c>
      <c r="E238" s="114" t="s">
        <v>33</v>
      </c>
      <c r="F238" s="115" t="s">
        <v>217</v>
      </c>
      <c r="G238" s="11"/>
      <c r="H238" s="114" t="s">
        <v>35</v>
      </c>
      <c r="I238" s="113" t="s">
        <v>218</v>
      </c>
      <c r="J238" s="113" t="s">
        <v>219</v>
      </c>
      <c r="K238" s="113" t="s">
        <v>220</v>
      </c>
      <c r="L238" s="113" t="s">
        <v>221</v>
      </c>
      <c r="M238" s="114" t="s">
        <v>40</v>
      </c>
      <c r="N238" s="113" t="s">
        <v>25</v>
      </c>
      <c r="O238" s="116" t="s">
        <v>222</v>
      </c>
      <c r="P238" s="113" t="s">
        <v>223</v>
      </c>
      <c r="Q238" s="97"/>
      <c r="R238" s="97"/>
      <c r="S238" s="97"/>
      <c r="T238" s="97"/>
      <c r="U238" s="97"/>
      <c r="V238" s="97"/>
      <c r="W238" s="97"/>
      <c r="X238" s="142"/>
      <c r="Y238" s="142"/>
      <c r="Z238" s="142"/>
    </row>
    <row r="239">
      <c r="A239" s="104"/>
      <c r="B239" s="118">
        <f>B228+1</f>
        <v>22</v>
      </c>
      <c r="C239" s="119" t="s">
        <v>43</v>
      </c>
      <c r="D239" s="120" t="s">
        <v>44</v>
      </c>
      <c r="E239" s="121"/>
      <c r="F239" s="122" t="s">
        <v>45</v>
      </c>
      <c r="G239" s="11"/>
      <c r="H239" s="121"/>
      <c r="I239" s="123" t="s">
        <v>46</v>
      </c>
      <c r="J239" s="10"/>
      <c r="K239" s="10"/>
      <c r="L239" s="11"/>
      <c r="M239" s="121"/>
      <c r="N239" s="119"/>
      <c r="O239" s="119"/>
      <c r="P239" s="120"/>
      <c r="Q239" s="141"/>
      <c r="R239" s="141"/>
      <c r="S239" s="141"/>
      <c r="T239" s="141"/>
      <c r="U239" s="141"/>
      <c r="V239" s="141"/>
      <c r="W239" s="141"/>
      <c r="X239" s="142"/>
      <c r="Y239" s="142"/>
      <c r="Z239" s="142"/>
    </row>
    <row r="240">
      <c r="A240" s="104"/>
      <c r="B240" s="121"/>
      <c r="C240" s="126">
        <f>IF(ISBLANK($C$9),"",C235+1)</f>
        <v>45845</v>
      </c>
      <c r="D240" s="127"/>
      <c r="E240" s="121"/>
      <c r="F240" s="127" t="str">
        <f>IF(ISNUMBER(F235),F235+1,"")</f>
        <v/>
      </c>
      <c r="G240" s="128"/>
      <c r="H240" s="121"/>
      <c r="I240" s="127">
        <f t="shared" ref="I240:I246" si="81">J240*4+K240*4+L240*9</f>
        <v>0</v>
      </c>
      <c r="J240" s="127"/>
      <c r="K240" s="127"/>
      <c r="L240" s="127"/>
      <c r="M240" s="121"/>
      <c r="N240" s="128"/>
      <c r="O240" s="127"/>
      <c r="P240" s="127"/>
      <c r="Q240" s="97"/>
      <c r="R240" s="97"/>
      <c r="S240" s="97"/>
      <c r="T240" s="97"/>
      <c r="U240" s="97"/>
      <c r="V240" s="97"/>
      <c r="W240" s="97"/>
      <c r="X240" s="142"/>
      <c r="Y240" s="142"/>
      <c r="Z240" s="142"/>
    </row>
    <row r="241">
      <c r="A241" s="104"/>
      <c r="B241" s="121"/>
      <c r="C241" s="132">
        <f t="shared" ref="C241:C246" si="82">IF(ISBLANK($C$9),"",C240+1)</f>
        <v>45846</v>
      </c>
      <c r="D241" s="133"/>
      <c r="E241" s="121"/>
      <c r="F241" s="134" t="str">
        <f t="shared" ref="F241:F246" si="83">IF(ISNUMBER(F240),F240+1,"")</f>
        <v/>
      </c>
      <c r="G241" s="134"/>
      <c r="H241" s="121"/>
      <c r="I241" s="133">
        <f t="shared" si="81"/>
        <v>0</v>
      </c>
      <c r="J241" s="133"/>
      <c r="K241" s="133"/>
      <c r="L241" s="133"/>
      <c r="M241" s="121"/>
      <c r="N241" s="134"/>
      <c r="O241" s="133"/>
      <c r="P241" s="133"/>
      <c r="Q241" s="97"/>
      <c r="R241" s="97"/>
      <c r="S241" s="97"/>
      <c r="T241" s="97"/>
      <c r="U241" s="97"/>
      <c r="V241" s="97"/>
      <c r="W241" s="97"/>
      <c r="X241" s="142"/>
      <c r="Y241" s="142"/>
      <c r="Z241" s="142"/>
    </row>
    <row r="242">
      <c r="A242" s="104"/>
      <c r="B242" s="121"/>
      <c r="C242" s="132">
        <f t="shared" si="82"/>
        <v>45847</v>
      </c>
      <c r="D242" s="133"/>
      <c r="E242" s="121"/>
      <c r="F242" s="134" t="str">
        <f t="shared" si="83"/>
        <v/>
      </c>
      <c r="G242" s="134"/>
      <c r="H242" s="121"/>
      <c r="I242" s="133">
        <f t="shared" si="81"/>
        <v>0</v>
      </c>
      <c r="J242" s="133"/>
      <c r="K242" s="133"/>
      <c r="L242" s="133"/>
      <c r="M242" s="121"/>
      <c r="N242" s="134"/>
      <c r="O242" s="133"/>
      <c r="P242" s="133"/>
      <c r="Q242" s="97"/>
      <c r="R242" s="97"/>
      <c r="S242" s="97"/>
      <c r="T242" s="97"/>
      <c r="U242" s="97"/>
      <c r="V242" s="97"/>
      <c r="W242" s="97"/>
      <c r="X242" s="142"/>
      <c r="Y242" s="142"/>
      <c r="Z242" s="142"/>
    </row>
    <row r="243">
      <c r="A243" s="104"/>
      <c r="B243" s="121"/>
      <c r="C243" s="132">
        <f t="shared" si="82"/>
        <v>45848</v>
      </c>
      <c r="D243" s="133"/>
      <c r="E243" s="121"/>
      <c r="F243" s="134" t="str">
        <f t="shared" si="83"/>
        <v/>
      </c>
      <c r="G243" s="134"/>
      <c r="H243" s="121"/>
      <c r="I243" s="133">
        <f t="shared" si="81"/>
        <v>0</v>
      </c>
      <c r="J243" s="134"/>
      <c r="K243" s="134"/>
      <c r="L243" s="134"/>
      <c r="M243" s="121"/>
      <c r="N243" s="134"/>
      <c r="O243" s="133"/>
      <c r="P243" s="134"/>
      <c r="Q243" s="97"/>
      <c r="R243" s="97"/>
      <c r="S243" s="97"/>
      <c r="T243" s="97"/>
      <c r="U243" s="97"/>
      <c r="V243" s="97"/>
      <c r="W243" s="97"/>
      <c r="X243" s="142"/>
      <c r="Y243" s="142"/>
      <c r="Z243" s="142"/>
    </row>
    <row r="244">
      <c r="A244" s="104"/>
      <c r="B244" s="121"/>
      <c r="C244" s="132">
        <f t="shared" si="82"/>
        <v>45849</v>
      </c>
      <c r="D244" s="133"/>
      <c r="E244" s="121"/>
      <c r="F244" s="134" t="str">
        <f t="shared" si="83"/>
        <v/>
      </c>
      <c r="G244" s="134"/>
      <c r="H244" s="121"/>
      <c r="I244" s="133">
        <f t="shared" si="81"/>
        <v>0</v>
      </c>
      <c r="J244" s="134"/>
      <c r="K244" s="134"/>
      <c r="L244" s="134"/>
      <c r="M244" s="121"/>
      <c r="N244" s="134"/>
      <c r="O244" s="133"/>
      <c r="P244" s="133"/>
      <c r="Q244" s="97"/>
      <c r="R244" s="97"/>
      <c r="S244" s="97"/>
      <c r="T244" s="97"/>
      <c r="U244" s="97"/>
      <c r="V244" s="97"/>
      <c r="W244" s="97"/>
      <c r="X244" s="142"/>
      <c r="Y244" s="142"/>
      <c r="Z244" s="142"/>
    </row>
    <row r="245">
      <c r="A245" s="104"/>
      <c r="B245" s="121"/>
      <c r="C245" s="132">
        <f t="shared" si="82"/>
        <v>45850</v>
      </c>
      <c r="D245" s="133"/>
      <c r="E245" s="121"/>
      <c r="F245" s="134" t="str">
        <f t="shared" si="83"/>
        <v/>
      </c>
      <c r="G245" s="134"/>
      <c r="H245" s="121"/>
      <c r="I245" s="133">
        <f t="shared" si="81"/>
        <v>0</v>
      </c>
      <c r="J245" s="134"/>
      <c r="K245" s="134"/>
      <c r="L245" s="134"/>
      <c r="M245" s="121"/>
      <c r="N245" s="134"/>
      <c r="O245" s="133"/>
      <c r="P245" s="133"/>
      <c r="Q245" s="97"/>
      <c r="R245" s="97"/>
      <c r="S245" s="97"/>
      <c r="T245" s="97"/>
      <c r="U245" s="97"/>
      <c r="V245" s="97"/>
      <c r="W245" s="97"/>
      <c r="X245" s="142"/>
      <c r="Y245" s="142"/>
      <c r="Z245" s="142"/>
    </row>
    <row r="246">
      <c r="A246" s="104"/>
      <c r="B246" s="121"/>
      <c r="C246" s="135">
        <f t="shared" si="82"/>
        <v>45851</v>
      </c>
      <c r="D246" s="136"/>
      <c r="E246" s="121"/>
      <c r="F246" s="137" t="str">
        <f t="shared" si="83"/>
        <v/>
      </c>
      <c r="G246" s="137"/>
      <c r="H246" s="121"/>
      <c r="I246" s="136">
        <f t="shared" si="81"/>
        <v>0</v>
      </c>
      <c r="J246" s="137"/>
      <c r="K246" s="137"/>
      <c r="L246" s="137"/>
      <c r="M246" s="121"/>
      <c r="N246" s="137"/>
      <c r="O246" s="136"/>
      <c r="P246" s="137"/>
      <c r="Q246" s="97"/>
      <c r="R246" s="97"/>
      <c r="S246" s="97"/>
      <c r="T246" s="97"/>
      <c r="U246" s="97"/>
      <c r="V246" s="97"/>
      <c r="W246" s="97"/>
      <c r="X246" s="142"/>
      <c r="Y246" s="142"/>
      <c r="Z246" s="142"/>
    </row>
    <row r="247">
      <c r="A247" s="104"/>
      <c r="B247" s="138"/>
      <c r="C247" s="112" t="s">
        <v>51</v>
      </c>
      <c r="D247" s="116">
        <f>IFERROR(ROUND(AVERAGE(D240:D246),1),0)</f>
        <v>0</v>
      </c>
      <c r="E247" s="138"/>
      <c r="F247" s="115" t="s">
        <v>52</v>
      </c>
      <c r="G247" s="11"/>
      <c r="H247" s="138"/>
      <c r="I247" s="116">
        <f>IFERROR(ROUND(AVERAGEIF(I240:I246,"&lt;&gt;0"),0),0)</f>
        <v>0</v>
      </c>
      <c r="J247" s="116">
        <f t="shared" ref="J247:L247" si="84">IFERROR(ROUND(AVERAGE(J240:J246),0),0)</f>
        <v>0</v>
      </c>
      <c r="K247" s="116">
        <f t="shared" si="84"/>
        <v>0</v>
      </c>
      <c r="L247" s="116">
        <f t="shared" si="84"/>
        <v>0</v>
      </c>
      <c r="M247" s="138"/>
      <c r="N247" s="116">
        <f>IFERROR(ROUND(AVERAGE(N240:N246),0),0)</f>
        <v>0</v>
      </c>
      <c r="O247" s="116">
        <f>IFERROR(SUM(O240:O246),0)</f>
        <v>0</v>
      </c>
      <c r="P247" s="116">
        <f>IFERROR(COUNTA(P240:P246),0)</f>
        <v>0</v>
      </c>
      <c r="Q247" s="97"/>
      <c r="R247" s="97"/>
      <c r="S247" s="97"/>
      <c r="T247" s="97"/>
      <c r="U247" s="97"/>
      <c r="V247" s="97"/>
      <c r="W247" s="97"/>
      <c r="X247" s="142"/>
      <c r="Y247" s="142"/>
      <c r="Z247" s="142"/>
    </row>
    <row r="248">
      <c r="A248" s="97"/>
      <c r="B248" s="109"/>
      <c r="C248" s="97"/>
      <c r="D248" s="98"/>
      <c r="E248" s="140"/>
      <c r="F248" s="140"/>
      <c r="G248" s="140"/>
      <c r="H248" s="140"/>
      <c r="I248" s="140"/>
      <c r="J248" s="140"/>
      <c r="K248" s="140"/>
      <c r="L248" s="140"/>
      <c r="M248" s="140"/>
      <c r="N248" s="98"/>
      <c r="O248" s="98"/>
      <c r="P248" s="98"/>
      <c r="Q248" s="97"/>
      <c r="R248" s="97"/>
      <c r="S248" s="97"/>
      <c r="T248" s="97"/>
      <c r="U248" s="97"/>
      <c r="V248" s="97"/>
      <c r="W248" s="97"/>
      <c r="X248" s="142"/>
      <c r="Y248" s="142"/>
      <c r="Z248" s="142"/>
    </row>
    <row r="249">
      <c r="A249" s="97"/>
      <c r="B249" s="112" t="s">
        <v>30</v>
      </c>
      <c r="C249" s="112" t="s">
        <v>31</v>
      </c>
      <c r="D249" s="113" t="s">
        <v>224</v>
      </c>
      <c r="E249" s="114" t="s">
        <v>33</v>
      </c>
      <c r="F249" s="115" t="s">
        <v>225</v>
      </c>
      <c r="G249" s="11"/>
      <c r="H249" s="114" t="s">
        <v>35</v>
      </c>
      <c r="I249" s="113" t="s">
        <v>226</v>
      </c>
      <c r="J249" s="113" t="s">
        <v>227</v>
      </c>
      <c r="K249" s="113" t="s">
        <v>228</v>
      </c>
      <c r="L249" s="113" t="s">
        <v>229</v>
      </c>
      <c r="M249" s="114" t="s">
        <v>40</v>
      </c>
      <c r="N249" s="113" t="s">
        <v>25</v>
      </c>
      <c r="O249" s="116" t="s">
        <v>230</v>
      </c>
      <c r="P249" s="113" t="s">
        <v>231</v>
      </c>
      <c r="Q249" s="97"/>
      <c r="R249" s="97"/>
      <c r="S249" s="97"/>
      <c r="T249" s="97"/>
      <c r="U249" s="97"/>
      <c r="V249" s="97"/>
      <c r="W249" s="97"/>
      <c r="X249" s="142"/>
      <c r="Y249" s="142"/>
      <c r="Z249" s="142"/>
    </row>
    <row r="250">
      <c r="A250" s="104"/>
      <c r="B250" s="118">
        <f>B239+1</f>
        <v>23</v>
      </c>
      <c r="C250" s="119" t="s">
        <v>43</v>
      </c>
      <c r="D250" s="120" t="s">
        <v>44</v>
      </c>
      <c r="E250" s="121"/>
      <c r="F250" s="122" t="s">
        <v>45</v>
      </c>
      <c r="G250" s="11"/>
      <c r="H250" s="121"/>
      <c r="I250" s="123" t="s">
        <v>46</v>
      </c>
      <c r="J250" s="10"/>
      <c r="K250" s="10"/>
      <c r="L250" s="11"/>
      <c r="M250" s="121"/>
      <c r="N250" s="119"/>
      <c r="O250" s="119"/>
      <c r="P250" s="120"/>
      <c r="Q250" s="141"/>
      <c r="R250" s="141"/>
      <c r="S250" s="141"/>
      <c r="T250" s="141"/>
      <c r="U250" s="141"/>
      <c r="V250" s="141"/>
      <c r="W250" s="141"/>
      <c r="X250" s="142"/>
      <c r="Y250" s="142"/>
      <c r="Z250" s="142"/>
    </row>
    <row r="251">
      <c r="A251" s="104"/>
      <c r="B251" s="121"/>
      <c r="C251" s="126">
        <f>IF(ISBLANK($C$9),"",C246+1)</f>
        <v>45852</v>
      </c>
      <c r="D251" s="127"/>
      <c r="E251" s="121"/>
      <c r="F251" s="127" t="str">
        <f>IF(ISNUMBER(F246),F246+1,"")</f>
        <v/>
      </c>
      <c r="G251" s="128"/>
      <c r="H251" s="121"/>
      <c r="I251" s="127">
        <f t="shared" ref="I251:I257" si="85">J251*4+K251*4+L251*9</f>
        <v>0</v>
      </c>
      <c r="J251" s="127"/>
      <c r="K251" s="127"/>
      <c r="L251" s="127"/>
      <c r="M251" s="121"/>
      <c r="N251" s="128"/>
      <c r="O251" s="127"/>
      <c r="P251" s="127"/>
      <c r="Q251" s="97"/>
      <c r="R251" s="97"/>
      <c r="S251" s="97"/>
      <c r="T251" s="97"/>
      <c r="U251" s="97"/>
      <c r="V251" s="97"/>
      <c r="W251" s="97"/>
      <c r="X251" s="142"/>
      <c r="Y251" s="142"/>
      <c r="Z251" s="142"/>
    </row>
    <row r="252">
      <c r="A252" s="104"/>
      <c r="B252" s="121"/>
      <c r="C252" s="132">
        <f t="shared" ref="C252:C257" si="86">IF(ISBLANK($C$9),"",C251+1)</f>
        <v>45853</v>
      </c>
      <c r="D252" s="133"/>
      <c r="E252" s="121"/>
      <c r="F252" s="134" t="str">
        <f t="shared" ref="F252:F257" si="87">IF(ISNUMBER(F251),F251+1,"")</f>
        <v/>
      </c>
      <c r="G252" s="134"/>
      <c r="H252" s="121"/>
      <c r="I252" s="133">
        <f t="shared" si="85"/>
        <v>0</v>
      </c>
      <c r="J252" s="133"/>
      <c r="K252" s="133"/>
      <c r="L252" s="133"/>
      <c r="M252" s="121"/>
      <c r="N252" s="134"/>
      <c r="O252" s="133"/>
      <c r="P252" s="133"/>
      <c r="Q252" s="97"/>
      <c r="R252" s="97"/>
      <c r="S252" s="97"/>
      <c r="T252" s="97"/>
      <c r="U252" s="97"/>
      <c r="V252" s="97"/>
      <c r="W252" s="97"/>
      <c r="X252" s="142"/>
      <c r="Y252" s="142"/>
      <c r="Z252" s="142"/>
    </row>
    <row r="253">
      <c r="A253" s="104"/>
      <c r="B253" s="121"/>
      <c r="C253" s="132">
        <f t="shared" si="86"/>
        <v>45854</v>
      </c>
      <c r="D253" s="133"/>
      <c r="E253" s="121"/>
      <c r="F253" s="134" t="str">
        <f t="shared" si="87"/>
        <v/>
      </c>
      <c r="G253" s="134"/>
      <c r="H253" s="121"/>
      <c r="I253" s="133">
        <f t="shared" si="85"/>
        <v>0</v>
      </c>
      <c r="J253" s="133"/>
      <c r="K253" s="133"/>
      <c r="L253" s="133"/>
      <c r="M253" s="121"/>
      <c r="N253" s="134"/>
      <c r="O253" s="133"/>
      <c r="P253" s="133"/>
      <c r="Q253" s="97"/>
      <c r="R253" s="97"/>
      <c r="S253" s="97"/>
      <c r="T253" s="97"/>
      <c r="U253" s="97"/>
      <c r="V253" s="97"/>
      <c r="W253" s="97"/>
      <c r="X253" s="142"/>
      <c r="Y253" s="142"/>
      <c r="Z253" s="142"/>
    </row>
    <row r="254">
      <c r="A254" s="104"/>
      <c r="B254" s="121"/>
      <c r="C254" s="132">
        <f t="shared" si="86"/>
        <v>45855</v>
      </c>
      <c r="D254" s="133"/>
      <c r="E254" s="121"/>
      <c r="F254" s="134" t="str">
        <f t="shared" si="87"/>
        <v/>
      </c>
      <c r="G254" s="134"/>
      <c r="H254" s="121"/>
      <c r="I254" s="133">
        <f t="shared" si="85"/>
        <v>0</v>
      </c>
      <c r="J254" s="134"/>
      <c r="K254" s="134"/>
      <c r="L254" s="134"/>
      <c r="M254" s="121"/>
      <c r="N254" s="134"/>
      <c r="O254" s="133"/>
      <c r="P254" s="134"/>
      <c r="Q254" s="97"/>
      <c r="R254" s="97"/>
      <c r="S254" s="97"/>
      <c r="T254" s="97"/>
      <c r="U254" s="97"/>
      <c r="V254" s="97"/>
      <c r="W254" s="97"/>
      <c r="X254" s="142"/>
      <c r="Y254" s="142"/>
      <c r="Z254" s="142"/>
    </row>
    <row r="255">
      <c r="A255" s="104"/>
      <c r="B255" s="121"/>
      <c r="C255" s="132">
        <f t="shared" si="86"/>
        <v>45856</v>
      </c>
      <c r="D255" s="133"/>
      <c r="E255" s="121"/>
      <c r="F255" s="134" t="str">
        <f t="shared" si="87"/>
        <v/>
      </c>
      <c r="G255" s="134"/>
      <c r="H255" s="121"/>
      <c r="I255" s="133">
        <f t="shared" si="85"/>
        <v>0</v>
      </c>
      <c r="J255" s="134"/>
      <c r="K255" s="134"/>
      <c r="L255" s="134"/>
      <c r="M255" s="121"/>
      <c r="N255" s="134"/>
      <c r="O255" s="133"/>
      <c r="P255" s="133"/>
      <c r="Q255" s="97"/>
      <c r="R255" s="97"/>
      <c r="S255" s="97"/>
      <c r="T255" s="97"/>
      <c r="U255" s="97"/>
      <c r="V255" s="97"/>
      <c r="W255" s="97"/>
      <c r="X255" s="142"/>
      <c r="Y255" s="142"/>
      <c r="Z255" s="142"/>
    </row>
    <row r="256">
      <c r="A256" s="104"/>
      <c r="B256" s="121"/>
      <c r="C256" s="132">
        <f t="shared" si="86"/>
        <v>45857</v>
      </c>
      <c r="D256" s="133"/>
      <c r="E256" s="121"/>
      <c r="F256" s="134" t="str">
        <f t="shared" si="87"/>
        <v/>
      </c>
      <c r="G256" s="134"/>
      <c r="H256" s="121"/>
      <c r="I256" s="133">
        <f t="shared" si="85"/>
        <v>0</v>
      </c>
      <c r="J256" s="134"/>
      <c r="K256" s="134"/>
      <c r="L256" s="134"/>
      <c r="M256" s="121"/>
      <c r="N256" s="134"/>
      <c r="O256" s="133"/>
      <c r="P256" s="133"/>
      <c r="Q256" s="97"/>
      <c r="R256" s="97"/>
      <c r="S256" s="97"/>
      <c r="T256" s="97"/>
      <c r="U256" s="97"/>
      <c r="V256" s="97"/>
      <c r="W256" s="97"/>
      <c r="X256" s="142"/>
      <c r="Y256" s="142"/>
      <c r="Z256" s="142"/>
    </row>
    <row r="257">
      <c r="A257" s="104"/>
      <c r="B257" s="121"/>
      <c r="C257" s="135">
        <f t="shared" si="86"/>
        <v>45858</v>
      </c>
      <c r="D257" s="136"/>
      <c r="E257" s="121"/>
      <c r="F257" s="137" t="str">
        <f t="shared" si="87"/>
        <v/>
      </c>
      <c r="G257" s="137"/>
      <c r="H257" s="121"/>
      <c r="I257" s="136">
        <f t="shared" si="85"/>
        <v>0</v>
      </c>
      <c r="J257" s="137"/>
      <c r="K257" s="137"/>
      <c r="L257" s="137"/>
      <c r="M257" s="121"/>
      <c r="N257" s="137"/>
      <c r="O257" s="136"/>
      <c r="P257" s="137"/>
      <c r="Q257" s="97"/>
      <c r="R257" s="97"/>
      <c r="S257" s="97"/>
      <c r="T257" s="97"/>
      <c r="U257" s="97"/>
      <c r="V257" s="97"/>
      <c r="W257" s="97"/>
      <c r="X257" s="142"/>
      <c r="Y257" s="142"/>
      <c r="Z257" s="142"/>
    </row>
    <row r="258">
      <c r="A258" s="104"/>
      <c r="B258" s="138"/>
      <c r="C258" s="112" t="s">
        <v>51</v>
      </c>
      <c r="D258" s="116">
        <f>IFERROR(ROUND(AVERAGE(D251:D257),1),0)</f>
        <v>0</v>
      </c>
      <c r="E258" s="138"/>
      <c r="F258" s="115" t="s">
        <v>52</v>
      </c>
      <c r="G258" s="11"/>
      <c r="H258" s="138"/>
      <c r="I258" s="116">
        <f>IFERROR(ROUND(AVERAGEIF(I251:I257,"&lt;&gt;0"),0),0)</f>
        <v>0</v>
      </c>
      <c r="J258" s="116">
        <f t="shared" ref="J258:L258" si="88">IFERROR(ROUND(AVERAGE(J251:J257),0),0)</f>
        <v>0</v>
      </c>
      <c r="K258" s="116">
        <f t="shared" si="88"/>
        <v>0</v>
      </c>
      <c r="L258" s="116">
        <f t="shared" si="88"/>
        <v>0</v>
      </c>
      <c r="M258" s="138"/>
      <c r="N258" s="116">
        <f>IFERROR(ROUND(AVERAGE(N251:N257),0),0)</f>
        <v>0</v>
      </c>
      <c r="O258" s="116">
        <f>IFERROR(SUM(O251:O257),0)</f>
        <v>0</v>
      </c>
      <c r="P258" s="116">
        <f>IFERROR(COUNTA(P251:P257),0)</f>
        <v>0</v>
      </c>
      <c r="Q258" s="97"/>
      <c r="R258" s="97"/>
      <c r="S258" s="97"/>
      <c r="T258" s="97"/>
      <c r="U258" s="97"/>
      <c r="V258" s="97"/>
      <c r="W258" s="97"/>
      <c r="X258" s="142"/>
      <c r="Y258" s="142"/>
      <c r="Z258" s="142"/>
    </row>
    <row r="259">
      <c r="A259" s="97"/>
      <c r="B259" s="109"/>
      <c r="C259" s="97"/>
      <c r="D259" s="98"/>
      <c r="E259" s="140"/>
      <c r="F259" s="140"/>
      <c r="G259" s="140"/>
      <c r="H259" s="140"/>
      <c r="I259" s="140"/>
      <c r="J259" s="140"/>
      <c r="K259" s="140"/>
      <c r="L259" s="140"/>
      <c r="M259" s="140"/>
      <c r="N259" s="98"/>
      <c r="O259" s="98"/>
      <c r="P259" s="98"/>
      <c r="Q259" s="97"/>
      <c r="R259" s="97"/>
      <c r="S259" s="97"/>
      <c r="T259" s="97"/>
      <c r="U259" s="97"/>
      <c r="V259" s="97"/>
      <c r="W259" s="97"/>
      <c r="X259" s="142"/>
      <c r="Y259" s="142"/>
      <c r="Z259" s="142"/>
    </row>
    <row r="260">
      <c r="A260" s="97"/>
      <c r="B260" s="112" t="s">
        <v>30</v>
      </c>
      <c r="C260" s="112" t="s">
        <v>31</v>
      </c>
      <c r="D260" s="113" t="s">
        <v>232</v>
      </c>
      <c r="E260" s="114" t="s">
        <v>33</v>
      </c>
      <c r="F260" s="115" t="s">
        <v>233</v>
      </c>
      <c r="G260" s="11"/>
      <c r="H260" s="114" t="s">
        <v>35</v>
      </c>
      <c r="I260" s="113" t="s">
        <v>234</v>
      </c>
      <c r="J260" s="113" t="s">
        <v>235</v>
      </c>
      <c r="K260" s="113" t="s">
        <v>236</v>
      </c>
      <c r="L260" s="113" t="s">
        <v>237</v>
      </c>
      <c r="M260" s="114" t="s">
        <v>40</v>
      </c>
      <c r="N260" s="113" t="s">
        <v>25</v>
      </c>
      <c r="O260" s="116" t="s">
        <v>238</v>
      </c>
      <c r="P260" s="113" t="s">
        <v>239</v>
      </c>
      <c r="Q260" s="97"/>
      <c r="R260" s="97"/>
      <c r="S260" s="97"/>
      <c r="T260" s="97"/>
      <c r="U260" s="97"/>
      <c r="V260" s="97"/>
      <c r="W260" s="97"/>
      <c r="X260" s="142"/>
      <c r="Y260" s="142"/>
      <c r="Z260" s="142"/>
    </row>
    <row r="261">
      <c r="A261" s="104"/>
      <c r="B261" s="118">
        <f>B250+1</f>
        <v>24</v>
      </c>
      <c r="C261" s="119" t="s">
        <v>43</v>
      </c>
      <c r="D261" s="120" t="s">
        <v>44</v>
      </c>
      <c r="E261" s="121"/>
      <c r="F261" s="122" t="s">
        <v>45</v>
      </c>
      <c r="G261" s="11"/>
      <c r="H261" s="121"/>
      <c r="I261" s="123" t="s">
        <v>46</v>
      </c>
      <c r="J261" s="10"/>
      <c r="K261" s="10"/>
      <c r="L261" s="11"/>
      <c r="M261" s="121"/>
      <c r="N261" s="119"/>
      <c r="O261" s="119"/>
      <c r="P261" s="120"/>
      <c r="Q261" s="141"/>
      <c r="R261" s="141"/>
      <c r="S261" s="141"/>
      <c r="T261" s="141"/>
      <c r="U261" s="141"/>
      <c r="V261" s="141"/>
      <c r="W261" s="141"/>
      <c r="X261" s="142"/>
      <c r="Y261" s="142"/>
      <c r="Z261" s="142"/>
    </row>
    <row r="262">
      <c r="A262" s="104"/>
      <c r="B262" s="121"/>
      <c r="C262" s="126">
        <f>IF(ISBLANK($C$9),"",C257+1)</f>
        <v>45859</v>
      </c>
      <c r="D262" s="127"/>
      <c r="E262" s="121"/>
      <c r="F262" s="127" t="str">
        <f>IF(ISNUMBER(F257),F257+1,"")</f>
        <v/>
      </c>
      <c r="G262" s="128"/>
      <c r="H262" s="121"/>
      <c r="I262" s="127">
        <f t="shared" ref="I262:I268" si="89">J262*4+K262*4+L262*9</f>
        <v>0</v>
      </c>
      <c r="J262" s="127"/>
      <c r="K262" s="127"/>
      <c r="L262" s="127"/>
      <c r="M262" s="121"/>
      <c r="N262" s="128"/>
      <c r="O262" s="127"/>
      <c r="P262" s="127"/>
      <c r="Q262" s="97"/>
      <c r="R262" s="97"/>
      <c r="S262" s="97"/>
      <c r="T262" s="97"/>
      <c r="U262" s="97"/>
      <c r="V262" s="97"/>
      <c r="W262" s="97"/>
      <c r="X262" s="142"/>
      <c r="Y262" s="142"/>
      <c r="Z262" s="142"/>
    </row>
    <row r="263">
      <c r="A263" s="104"/>
      <c r="B263" s="121"/>
      <c r="C263" s="132">
        <f t="shared" ref="C263:C268" si="90">IF(ISBLANK($C$9),"",C262+1)</f>
        <v>45860</v>
      </c>
      <c r="D263" s="133"/>
      <c r="E263" s="121"/>
      <c r="F263" s="134" t="str">
        <f t="shared" ref="F263:F268" si="91">IF(ISNUMBER(F262),F262+1,"")</f>
        <v/>
      </c>
      <c r="G263" s="134"/>
      <c r="H263" s="121"/>
      <c r="I263" s="133">
        <f t="shared" si="89"/>
        <v>0</v>
      </c>
      <c r="J263" s="133"/>
      <c r="K263" s="133"/>
      <c r="L263" s="133"/>
      <c r="M263" s="121"/>
      <c r="N263" s="134"/>
      <c r="O263" s="133"/>
      <c r="P263" s="133"/>
      <c r="Q263" s="97"/>
      <c r="R263" s="97"/>
      <c r="S263" s="97"/>
      <c r="T263" s="97"/>
      <c r="U263" s="97"/>
      <c r="V263" s="97"/>
      <c r="W263" s="97"/>
      <c r="X263" s="142"/>
      <c r="Y263" s="142"/>
      <c r="Z263" s="142"/>
    </row>
    <row r="264">
      <c r="A264" s="104"/>
      <c r="B264" s="121"/>
      <c r="C264" s="132">
        <f t="shared" si="90"/>
        <v>45861</v>
      </c>
      <c r="D264" s="133"/>
      <c r="E264" s="121"/>
      <c r="F264" s="134" t="str">
        <f t="shared" si="91"/>
        <v/>
      </c>
      <c r="G264" s="134"/>
      <c r="H264" s="121"/>
      <c r="I264" s="133">
        <f t="shared" si="89"/>
        <v>0</v>
      </c>
      <c r="J264" s="133"/>
      <c r="K264" s="133"/>
      <c r="L264" s="133"/>
      <c r="M264" s="121"/>
      <c r="N264" s="134"/>
      <c r="O264" s="133"/>
      <c r="P264" s="133"/>
      <c r="Q264" s="97"/>
      <c r="R264" s="97"/>
      <c r="S264" s="97"/>
      <c r="T264" s="97"/>
      <c r="U264" s="97"/>
      <c r="V264" s="97"/>
      <c r="W264" s="97"/>
      <c r="X264" s="142"/>
      <c r="Y264" s="142"/>
      <c r="Z264" s="142"/>
    </row>
    <row r="265">
      <c r="A265" s="104"/>
      <c r="B265" s="121"/>
      <c r="C265" s="132">
        <f t="shared" si="90"/>
        <v>45862</v>
      </c>
      <c r="D265" s="133"/>
      <c r="E265" s="121"/>
      <c r="F265" s="134" t="str">
        <f t="shared" si="91"/>
        <v/>
      </c>
      <c r="G265" s="134"/>
      <c r="H265" s="121"/>
      <c r="I265" s="133">
        <f t="shared" si="89"/>
        <v>0</v>
      </c>
      <c r="J265" s="134"/>
      <c r="K265" s="134"/>
      <c r="L265" s="134"/>
      <c r="M265" s="121"/>
      <c r="N265" s="134"/>
      <c r="O265" s="133"/>
      <c r="P265" s="134"/>
      <c r="Q265" s="97"/>
      <c r="R265" s="97"/>
      <c r="S265" s="97"/>
      <c r="T265" s="97"/>
      <c r="U265" s="97"/>
      <c r="V265" s="97"/>
      <c r="W265" s="97"/>
      <c r="X265" s="142"/>
      <c r="Y265" s="142"/>
      <c r="Z265" s="142"/>
    </row>
    <row r="266">
      <c r="A266" s="104"/>
      <c r="B266" s="121"/>
      <c r="C266" s="132">
        <f t="shared" si="90"/>
        <v>45863</v>
      </c>
      <c r="D266" s="133"/>
      <c r="E266" s="121"/>
      <c r="F266" s="134" t="str">
        <f t="shared" si="91"/>
        <v/>
      </c>
      <c r="G266" s="134"/>
      <c r="H266" s="121"/>
      <c r="I266" s="133">
        <f t="shared" si="89"/>
        <v>0</v>
      </c>
      <c r="J266" s="134"/>
      <c r="K266" s="134"/>
      <c r="L266" s="134"/>
      <c r="M266" s="121"/>
      <c r="N266" s="134"/>
      <c r="O266" s="133"/>
      <c r="P266" s="133"/>
      <c r="Q266" s="97"/>
      <c r="R266" s="97"/>
      <c r="S266" s="97"/>
      <c r="T266" s="97"/>
      <c r="U266" s="97"/>
      <c r="V266" s="97"/>
      <c r="W266" s="97"/>
      <c r="X266" s="142"/>
      <c r="Y266" s="142"/>
      <c r="Z266" s="142"/>
    </row>
    <row r="267">
      <c r="A267" s="104"/>
      <c r="B267" s="121"/>
      <c r="C267" s="132">
        <f t="shared" si="90"/>
        <v>45864</v>
      </c>
      <c r="D267" s="133"/>
      <c r="E267" s="121"/>
      <c r="F267" s="134" t="str">
        <f t="shared" si="91"/>
        <v/>
      </c>
      <c r="G267" s="134"/>
      <c r="H267" s="121"/>
      <c r="I267" s="133">
        <f t="shared" si="89"/>
        <v>0</v>
      </c>
      <c r="J267" s="134"/>
      <c r="K267" s="134"/>
      <c r="L267" s="134"/>
      <c r="M267" s="121"/>
      <c r="N267" s="134"/>
      <c r="O267" s="133"/>
      <c r="P267" s="133"/>
      <c r="Q267" s="97"/>
      <c r="R267" s="97"/>
      <c r="S267" s="97"/>
      <c r="T267" s="97"/>
      <c r="U267" s="97"/>
      <c r="V267" s="97"/>
      <c r="W267" s="97"/>
      <c r="X267" s="142"/>
      <c r="Y267" s="142"/>
      <c r="Z267" s="142"/>
    </row>
    <row r="268">
      <c r="A268" s="104"/>
      <c r="B268" s="121"/>
      <c r="C268" s="135">
        <f t="shared" si="90"/>
        <v>45865</v>
      </c>
      <c r="D268" s="136"/>
      <c r="E268" s="121"/>
      <c r="F268" s="137" t="str">
        <f t="shared" si="91"/>
        <v/>
      </c>
      <c r="G268" s="137"/>
      <c r="H268" s="121"/>
      <c r="I268" s="136">
        <f t="shared" si="89"/>
        <v>0</v>
      </c>
      <c r="J268" s="137"/>
      <c r="K268" s="137"/>
      <c r="L268" s="137"/>
      <c r="M268" s="121"/>
      <c r="N268" s="137"/>
      <c r="O268" s="136"/>
      <c r="P268" s="137"/>
      <c r="Q268" s="97"/>
      <c r="R268" s="97"/>
      <c r="S268" s="97"/>
      <c r="T268" s="97"/>
      <c r="U268" s="97"/>
      <c r="V268" s="97"/>
      <c r="W268" s="97"/>
      <c r="X268" s="142"/>
      <c r="Y268" s="142"/>
      <c r="Z268" s="142"/>
    </row>
    <row r="269">
      <c r="A269" s="104"/>
      <c r="B269" s="138"/>
      <c r="C269" s="112" t="s">
        <v>51</v>
      </c>
      <c r="D269" s="116">
        <f>IFERROR(ROUND(AVERAGE(D262:D268),1),0)</f>
        <v>0</v>
      </c>
      <c r="E269" s="138"/>
      <c r="F269" s="115" t="s">
        <v>52</v>
      </c>
      <c r="G269" s="11"/>
      <c r="H269" s="138"/>
      <c r="I269" s="116">
        <f>IFERROR(ROUND(AVERAGEIF(I262:I268,"&lt;&gt;0"),0),0)</f>
        <v>0</v>
      </c>
      <c r="J269" s="116">
        <f t="shared" ref="J269:L269" si="92">IFERROR(ROUND(AVERAGE(J262:J268),0),0)</f>
        <v>0</v>
      </c>
      <c r="K269" s="116">
        <f t="shared" si="92"/>
        <v>0</v>
      </c>
      <c r="L269" s="116">
        <f t="shared" si="92"/>
        <v>0</v>
      </c>
      <c r="M269" s="138"/>
      <c r="N269" s="116">
        <f>IFERROR(ROUND(AVERAGE(N262:N268),0),0)</f>
        <v>0</v>
      </c>
      <c r="O269" s="116">
        <f>IFERROR(SUM(O262:O268),0)</f>
        <v>0</v>
      </c>
      <c r="P269" s="116">
        <f>IFERROR(COUNTA(P262:P268),0)</f>
        <v>0</v>
      </c>
      <c r="Q269" s="97"/>
      <c r="R269" s="97"/>
      <c r="S269" s="97"/>
      <c r="T269" s="97"/>
      <c r="U269" s="97"/>
      <c r="V269" s="97"/>
      <c r="W269" s="97"/>
      <c r="X269" s="142"/>
      <c r="Y269" s="142"/>
      <c r="Z269" s="142"/>
    </row>
    <row r="270">
      <c r="A270" s="97"/>
      <c r="B270" s="109"/>
      <c r="C270" s="97"/>
      <c r="D270" s="98"/>
      <c r="E270" s="140"/>
      <c r="F270" s="140"/>
      <c r="G270" s="140"/>
      <c r="H270" s="140"/>
      <c r="I270" s="140"/>
      <c r="J270" s="140"/>
      <c r="K270" s="140"/>
      <c r="L270" s="140"/>
      <c r="M270" s="140"/>
      <c r="N270" s="98"/>
      <c r="O270" s="98"/>
      <c r="P270" s="98"/>
      <c r="Q270" s="97"/>
      <c r="R270" s="97"/>
      <c r="S270" s="97"/>
      <c r="T270" s="97"/>
      <c r="U270" s="97"/>
      <c r="V270" s="97"/>
      <c r="W270" s="97"/>
      <c r="X270" s="142"/>
      <c r="Y270" s="142"/>
      <c r="Z270" s="142"/>
    </row>
    <row r="271">
      <c r="A271" s="97"/>
      <c r="B271" s="112" t="s">
        <v>30</v>
      </c>
      <c r="C271" s="112" t="s">
        <v>31</v>
      </c>
      <c r="D271" s="113" t="s">
        <v>240</v>
      </c>
      <c r="E271" s="114" t="s">
        <v>33</v>
      </c>
      <c r="F271" s="115" t="s">
        <v>241</v>
      </c>
      <c r="G271" s="11"/>
      <c r="H271" s="114" t="s">
        <v>35</v>
      </c>
      <c r="I271" s="113" t="s">
        <v>242</v>
      </c>
      <c r="J271" s="113" t="s">
        <v>243</v>
      </c>
      <c r="K271" s="113" t="s">
        <v>244</v>
      </c>
      <c r="L271" s="113" t="s">
        <v>245</v>
      </c>
      <c r="M271" s="114" t="s">
        <v>40</v>
      </c>
      <c r="N271" s="113" t="s">
        <v>25</v>
      </c>
      <c r="O271" s="116" t="s">
        <v>246</v>
      </c>
      <c r="P271" s="113" t="s">
        <v>247</v>
      </c>
      <c r="Q271" s="97"/>
      <c r="R271" s="97"/>
      <c r="S271" s="97"/>
      <c r="T271" s="97"/>
      <c r="U271" s="97"/>
      <c r="V271" s="97"/>
      <c r="W271" s="97"/>
      <c r="X271" s="142"/>
      <c r="Y271" s="142"/>
      <c r="Z271" s="142"/>
    </row>
    <row r="272">
      <c r="A272" s="104"/>
      <c r="B272" s="118">
        <f>B261+1</f>
        <v>25</v>
      </c>
      <c r="C272" s="119" t="s">
        <v>43</v>
      </c>
      <c r="D272" s="120" t="s">
        <v>44</v>
      </c>
      <c r="E272" s="121"/>
      <c r="F272" s="122" t="s">
        <v>45</v>
      </c>
      <c r="G272" s="11"/>
      <c r="H272" s="121"/>
      <c r="I272" s="123" t="s">
        <v>46</v>
      </c>
      <c r="J272" s="10"/>
      <c r="K272" s="10"/>
      <c r="L272" s="11"/>
      <c r="M272" s="121"/>
      <c r="N272" s="119"/>
      <c r="O272" s="119"/>
      <c r="P272" s="120"/>
      <c r="Q272" s="141"/>
      <c r="R272" s="141"/>
      <c r="S272" s="141"/>
      <c r="T272" s="141"/>
      <c r="U272" s="141"/>
      <c r="V272" s="141"/>
      <c r="W272" s="141"/>
      <c r="X272" s="142"/>
      <c r="Y272" s="142"/>
      <c r="Z272" s="142"/>
    </row>
    <row r="273">
      <c r="A273" s="104"/>
      <c r="B273" s="121"/>
      <c r="C273" s="126">
        <f>IF(ISBLANK($C$9),"",C268+1)</f>
        <v>45866</v>
      </c>
      <c r="D273" s="127"/>
      <c r="E273" s="121"/>
      <c r="F273" s="127" t="str">
        <f>IF(ISNUMBER(F268),F268+1,"")</f>
        <v/>
      </c>
      <c r="G273" s="128"/>
      <c r="H273" s="121"/>
      <c r="I273" s="127">
        <f t="shared" ref="I273:I279" si="93">J273*4+K273*4+L273*9</f>
        <v>0</v>
      </c>
      <c r="J273" s="127"/>
      <c r="K273" s="127"/>
      <c r="L273" s="127"/>
      <c r="M273" s="121"/>
      <c r="N273" s="128"/>
      <c r="O273" s="127"/>
      <c r="P273" s="127"/>
      <c r="Q273" s="97"/>
      <c r="R273" s="97"/>
      <c r="S273" s="97"/>
      <c r="T273" s="97"/>
      <c r="U273" s="97"/>
      <c r="V273" s="97"/>
      <c r="W273" s="97"/>
      <c r="X273" s="142"/>
      <c r="Y273" s="142"/>
      <c r="Z273" s="142"/>
    </row>
    <row r="274">
      <c r="A274" s="104"/>
      <c r="B274" s="121"/>
      <c r="C274" s="132">
        <f t="shared" ref="C274:C279" si="94">IF(ISBLANK($C$9),"",C273+1)</f>
        <v>45867</v>
      </c>
      <c r="D274" s="133"/>
      <c r="E274" s="121"/>
      <c r="F274" s="134" t="str">
        <f t="shared" ref="F274:F279" si="95">IF(ISNUMBER(F273),F273+1,"")</f>
        <v/>
      </c>
      <c r="G274" s="134"/>
      <c r="H274" s="121"/>
      <c r="I274" s="133">
        <f t="shared" si="93"/>
        <v>0</v>
      </c>
      <c r="J274" s="133"/>
      <c r="K274" s="133"/>
      <c r="L274" s="133"/>
      <c r="M274" s="121"/>
      <c r="N274" s="134"/>
      <c r="O274" s="133"/>
      <c r="P274" s="133"/>
      <c r="Q274" s="97"/>
      <c r="R274" s="97"/>
      <c r="S274" s="97"/>
      <c r="T274" s="97"/>
      <c r="U274" s="97"/>
      <c r="V274" s="97"/>
      <c r="W274" s="97"/>
      <c r="X274" s="142"/>
      <c r="Y274" s="142"/>
      <c r="Z274" s="142"/>
    </row>
    <row r="275">
      <c r="A275" s="104"/>
      <c r="B275" s="121"/>
      <c r="C275" s="132">
        <f t="shared" si="94"/>
        <v>45868</v>
      </c>
      <c r="D275" s="133"/>
      <c r="E275" s="121"/>
      <c r="F275" s="134" t="str">
        <f t="shared" si="95"/>
        <v/>
      </c>
      <c r="G275" s="134"/>
      <c r="H275" s="121"/>
      <c r="I275" s="133">
        <f t="shared" si="93"/>
        <v>0</v>
      </c>
      <c r="J275" s="133"/>
      <c r="K275" s="133"/>
      <c r="L275" s="133"/>
      <c r="M275" s="121"/>
      <c r="N275" s="134"/>
      <c r="O275" s="133"/>
      <c r="P275" s="133"/>
      <c r="Q275" s="97"/>
      <c r="R275" s="97"/>
      <c r="S275" s="97"/>
      <c r="T275" s="97"/>
      <c r="U275" s="97"/>
      <c r="V275" s="97"/>
      <c r="W275" s="97"/>
      <c r="X275" s="142"/>
      <c r="Y275" s="142"/>
      <c r="Z275" s="142"/>
    </row>
    <row r="276">
      <c r="A276" s="104"/>
      <c r="B276" s="121"/>
      <c r="C276" s="132">
        <f t="shared" si="94"/>
        <v>45869</v>
      </c>
      <c r="D276" s="133"/>
      <c r="E276" s="121"/>
      <c r="F276" s="134" t="str">
        <f t="shared" si="95"/>
        <v/>
      </c>
      <c r="G276" s="134"/>
      <c r="H276" s="121"/>
      <c r="I276" s="133">
        <f t="shared" si="93"/>
        <v>0</v>
      </c>
      <c r="J276" s="134"/>
      <c r="K276" s="134"/>
      <c r="L276" s="134"/>
      <c r="M276" s="121"/>
      <c r="N276" s="134"/>
      <c r="O276" s="133"/>
      <c r="P276" s="134"/>
      <c r="Q276" s="97"/>
      <c r="R276" s="97"/>
      <c r="S276" s="97"/>
      <c r="T276" s="97"/>
      <c r="U276" s="97"/>
      <c r="V276" s="97"/>
      <c r="W276" s="97"/>
      <c r="X276" s="142"/>
      <c r="Y276" s="142"/>
      <c r="Z276" s="142"/>
    </row>
    <row r="277">
      <c r="A277" s="104"/>
      <c r="B277" s="121"/>
      <c r="C277" s="132">
        <f t="shared" si="94"/>
        <v>45870</v>
      </c>
      <c r="D277" s="133"/>
      <c r="E277" s="121"/>
      <c r="F277" s="134" t="str">
        <f t="shared" si="95"/>
        <v/>
      </c>
      <c r="G277" s="134"/>
      <c r="H277" s="121"/>
      <c r="I277" s="133">
        <f t="shared" si="93"/>
        <v>0</v>
      </c>
      <c r="J277" s="134"/>
      <c r="K277" s="134"/>
      <c r="L277" s="134"/>
      <c r="M277" s="121"/>
      <c r="N277" s="134"/>
      <c r="O277" s="133"/>
      <c r="P277" s="133"/>
      <c r="Q277" s="97"/>
      <c r="R277" s="97"/>
      <c r="S277" s="97"/>
      <c r="T277" s="97"/>
      <c r="U277" s="97"/>
      <c r="V277" s="97"/>
      <c r="W277" s="97"/>
      <c r="X277" s="142"/>
      <c r="Y277" s="142"/>
      <c r="Z277" s="142"/>
    </row>
    <row r="278">
      <c r="A278" s="104"/>
      <c r="B278" s="121"/>
      <c r="C278" s="132">
        <f t="shared" si="94"/>
        <v>45871</v>
      </c>
      <c r="D278" s="133"/>
      <c r="E278" s="121"/>
      <c r="F278" s="134" t="str">
        <f t="shared" si="95"/>
        <v/>
      </c>
      <c r="G278" s="134"/>
      <c r="H278" s="121"/>
      <c r="I278" s="133">
        <f t="shared" si="93"/>
        <v>0</v>
      </c>
      <c r="J278" s="134"/>
      <c r="K278" s="134"/>
      <c r="L278" s="134"/>
      <c r="M278" s="121"/>
      <c r="N278" s="134"/>
      <c r="O278" s="133"/>
      <c r="P278" s="133"/>
      <c r="Q278" s="97"/>
      <c r="R278" s="97"/>
      <c r="S278" s="97"/>
      <c r="T278" s="97"/>
      <c r="U278" s="97"/>
      <c r="V278" s="97"/>
      <c r="W278" s="97"/>
      <c r="X278" s="142"/>
      <c r="Y278" s="142"/>
      <c r="Z278" s="142"/>
    </row>
    <row r="279">
      <c r="A279" s="104"/>
      <c r="B279" s="121"/>
      <c r="C279" s="135">
        <f t="shared" si="94"/>
        <v>45872</v>
      </c>
      <c r="D279" s="136"/>
      <c r="E279" s="121"/>
      <c r="F279" s="137" t="str">
        <f t="shared" si="95"/>
        <v/>
      </c>
      <c r="G279" s="137"/>
      <c r="H279" s="121"/>
      <c r="I279" s="136">
        <f t="shared" si="93"/>
        <v>0</v>
      </c>
      <c r="J279" s="137"/>
      <c r="K279" s="137"/>
      <c r="L279" s="137"/>
      <c r="M279" s="121"/>
      <c r="N279" s="137"/>
      <c r="O279" s="136"/>
      <c r="P279" s="137"/>
      <c r="Q279" s="97"/>
      <c r="R279" s="97"/>
      <c r="S279" s="97"/>
      <c r="T279" s="97"/>
      <c r="U279" s="97"/>
      <c r="V279" s="97"/>
      <c r="W279" s="97"/>
      <c r="X279" s="142"/>
      <c r="Y279" s="142"/>
      <c r="Z279" s="142"/>
    </row>
    <row r="280">
      <c r="A280" s="104"/>
      <c r="B280" s="138"/>
      <c r="C280" s="112" t="s">
        <v>51</v>
      </c>
      <c r="D280" s="116">
        <f>IFERROR(ROUND(AVERAGE(D273:D279),1),0)</f>
        <v>0</v>
      </c>
      <c r="E280" s="138"/>
      <c r="F280" s="115" t="s">
        <v>52</v>
      </c>
      <c r="G280" s="11"/>
      <c r="H280" s="138"/>
      <c r="I280" s="116">
        <f>IFERROR(ROUND(AVERAGEIF(I273:I279,"&lt;&gt;0"),0),0)</f>
        <v>0</v>
      </c>
      <c r="J280" s="116">
        <f t="shared" ref="J280:L280" si="96">IFERROR(ROUND(AVERAGE(J273:J279),0),0)</f>
        <v>0</v>
      </c>
      <c r="K280" s="116">
        <f t="shared" si="96"/>
        <v>0</v>
      </c>
      <c r="L280" s="116">
        <f t="shared" si="96"/>
        <v>0</v>
      </c>
      <c r="M280" s="138"/>
      <c r="N280" s="116">
        <f>IFERROR(ROUND(AVERAGE(N273:N279),0),0)</f>
        <v>0</v>
      </c>
      <c r="O280" s="116">
        <f>IFERROR(SUM(O273:O279),0)</f>
        <v>0</v>
      </c>
      <c r="P280" s="116">
        <f>IFERROR(COUNTA(P273:P279),0)</f>
        <v>0</v>
      </c>
      <c r="Q280" s="97"/>
      <c r="R280" s="97"/>
      <c r="S280" s="97"/>
      <c r="T280" s="97"/>
      <c r="U280" s="97"/>
      <c r="V280" s="97"/>
      <c r="W280" s="97"/>
      <c r="X280" s="142"/>
      <c r="Y280" s="142"/>
      <c r="Z280" s="142"/>
    </row>
    <row r="281">
      <c r="A281" s="97"/>
      <c r="B281" s="109"/>
      <c r="C281" s="97"/>
      <c r="D281" s="98"/>
      <c r="E281" s="140"/>
      <c r="F281" s="140"/>
      <c r="G281" s="140"/>
      <c r="H281" s="140"/>
      <c r="I281" s="140"/>
      <c r="J281" s="140"/>
      <c r="K281" s="140"/>
      <c r="L281" s="140"/>
      <c r="M281" s="140"/>
      <c r="N281" s="98"/>
      <c r="O281" s="98"/>
      <c r="P281" s="98"/>
      <c r="Q281" s="97"/>
      <c r="R281" s="97"/>
      <c r="S281" s="97"/>
      <c r="T281" s="97"/>
      <c r="U281" s="97"/>
      <c r="V281" s="97"/>
      <c r="W281" s="97"/>
      <c r="X281" s="142"/>
      <c r="Y281" s="142"/>
      <c r="Z281" s="142"/>
    </row>
    <row r="282">
      <c r="A282" s="97"/>
      <c r="B282" s="112" t="s">
        <v>30</v>
      </c>
      <c r="C282" s="112" t="s">
        <v>31</v>
      </c>
      <c r="D282" s="113" t="s">
        <v>248</v>
      </c>
      <c r="E282" s="114" t="s">
        <v>33</v>
      </c>
      <c r="F282" s="115" t="s">
        <v>249</v>
      </c>
      <c r="G282" s="11"/>
      <c r="H282" s="114" t="s">
        <v>35</v>
      </c>
      <c r="I282" s="113" t="s">
        <v>250</v>
      </c>
      <c r="J282" s="113" t="s">
        <v>251</v>
      </c>
      <c r="K282" s="113" t="s">
        <v>252</v>
      </c>
      <c r="L282" s="113" t="s">
        <v>253</v>
      </c>
      <c r="M282" s="114" t="s">
        <v>40</v>
      </c>
      <c r="N282" s="113" t="s">
        <v>25</v>
      </c>
      <c r="O282" s="116" t="s">
        <v>254</v>
      </c>
      <c r="P282" s="113" t="s">
        <v>255</v>
      </c>
      <c r="Q282" s="97"/>
      <c r="R282" s="97"/>
      <c r="S282" s="97"/>
      <c r="T282" s="97"/>
      <c r="U282" s="97"/>
      <c r="V282" s="97"/>
      <c r="W282" s="97"/>
      <c r="X282" s="142"/>
      <c r="Y282" s="142"/>
      <c r="Z282" s="142"/>
    </row>
    <row r="283">
      <c r="A283" s="104"/>
      <c r="B283" s="118">
        <f>B272+1</f>
        <v>26</v>
      </c>
      <c r="C283" s="119" t="s">
        <v>43</v>
      </c>
      <c r="D283" s="120" t="s">
        <v>44</v>
      </c>
      <c r="E283" s="121"/>
      <c r="F283" s="122" t="s">
        <v>45</v>
      </c>
      <c r="G283" s="11"/>
      <c r="H283" s="121"/>
      <c r="I283" s="123" t="s">
        <v>46</v>
      </c>
      <c r="J283" s="10"/>
      <c r="K283" s="10"/>
      <c r="L283" s="11"/>
      <c r="M283" s="121"/>
      <c r="N283" s="119"/>
      <c r="O283" s="119"/>
      <c r="P283" s="120"/>
      <c r="Q283" s="141"/>
      <c r="R283" s="141"/>
      <c r="S283" s="141"/>
      <c r="T283" s="141"/>
      <c r="U283" s="141"/>
      <c r="V283" s="141"/>
      <c r="W283" s="141"/>
      <c r="X283" s="142"/>
      <c r="Y283" s="142"/>
      <c r="Z283" s="142"/>
    </row>
    <row r="284">
      <c r="A284" s="104"/>
      <c r="B284" s="121"/>
      <c r="C284" s="126">
        <f>IF(ISBLANK($C$9),"",C279+1)</f>
        <v>45873</v>
      </c>
      <c r="D284" s="127"/>
      <c r="E284" s="121"/>
      <c r="F284" s="127" t="str">
        <f>IF(ISNUMBER(F279),F279+1,"")</f>
        <v/>
      </c>
      <c r="G284" s="128"/>
      <c r="H284" s="121"/>
      <c r="I284" s="127">
        <f t="shared" ref="I284:I290" si="97">J284*4+K284*4+L284*9</f>
        <v>0</v>
      </c>
      <c r="J284" s="127"/>
      <c r="K284" s="127"/>
      <c r="L284" s="127"/>
      <c r="M284" s="121"/>
      <c r="N284" s="128"/>
      <c r="O284" s="127"/>
      <c r="P284" s="127"/>
      <c r="Q284" s="97"/>
      <c r="R284" s="97"/>
      <c r="S284" s="97"/>
      <c r="T284" s="97"/>
      <c r="U284" s="97"/>
      <c r="V284" s="97"/>
      <c r="W284" s="97"/>
      <c r="X284" s="142"/>
      <c r="Y284" s="142"/>
      <c r="Z284" s="142"/>
    </row>
    <row r="285">
      <c r="A285" s="104"/>
      <c r="B285" s="121"/>
      <c r="C285" s="132">
        <f t="shared" ref="C285:C290" si="98">IF(ISBLANK($C$9),"",C284+1)</f>
        <v>45874</v>
      </c>
      <c r="D285" s="133"/>
      <c r="E285" s="121"/>
      <c r="F285" s="134" t="str">
        <f t="shared" ref="F285:F290" si="99">IF(ISNUMBER(F284),F284+1,"")</f>
        <v/>
      </c>
      <c r="G285" s="134"/>
      <c r="H285" s="121"/>
      <c r="I285" s="133">
        <f t="shared" si="97"/>
        <v>0</v>
      </c>
      <c r="J285" s="133"/>
      <c r="K285" s="133"/>
      <c r="L285" s="133"/>
      <c r="M285" s="121"/>
      <c r="N285" s="134"/>
      <c r="O285" s="133"/>
      <c r="P285" s="133"/>
      <c r="Q285" s="97"/>
      <c r="R285" s="97"/>
      <c r="S285" s="97"/>
      <c r="T285" s="97"/>
      <c r="U285" s="97"/>
      <c r="V285" s="97"/>
      <c r="W285" s="97"/>
      <c r="X285" s="142"/>
      <c r="Y285" s="142"/>
      <c r="Z285" s="142"/>
    </row>
    <row r="286">
      <c r="A286" s="104"/>
      <c r="B286" s="121"/>
      <c r="C286" s="132">
        <f t="shared" si="98"/>
        <v>45875</v>
      </c>
      <c r="D286" s="133"/>
      <c r="E286" s="121"/>
      <c r="F286" s="134" t="str">
        <f t="shared" si="99"/>
        <v/>
      </c>
      <c r="G286" s="134"/>
      <c r="H286" s="121"/>
      <c r="I286" s="133">
        <f t="shared" si="97"/>
        <v>0</v>
      </c>
      <c r="J286" s="133"/>
      <c r="K286" s="133"/>
      <c r="L286" s="133"/>
      <c r="M286" s="121"/>
      <c r="N286" s="134"/>
      <c r="O286" s="133"/>
      <c r="P286" s="133"/>
      <c r="Q286" s="97"/>
      <c r="R286" s="97"/>
      <c r="S286" s="97"/>
      <c r="T286" s="97"/>
      <c r="U286" s="97"/>
      <c r="V286" s="97"/>
      <c r="W286" s="97"/>
      <c r="X286" s="142"/>
      <c r="Y286" s="142"/>
      <c r="Z286" s="142"/>
    </row>
    <row r="287">
      <c r="A287" s="104"/>
      <c r="B287" s="121"/>
      <c r="C287" s="132">
        <f t="shared" si="98"/>
        <v>45876</v>
      </c>
      <c r="D287" s="133"/>
      <c r="E287" s="121"/>
      <c r="F287" s="134" t="str">
        <f t="shared" si="99"/>
        <v/>
      </c>
      <c r="G287" s="134"/>
      <c r="H287" s="121"/>
      <c r="I287" s="133">
        <f t="shared" si="97"/>
        <v>0</v>
      </c>
      <c r="J287" s="134"/>
      <c r="K287" s="134"/>
      <c r="L287" s="134"/>
      <c r="M287" s="121"/>
      <c r="N287" s="134"/>
      <c r="O287" s="133"/>
      <c r="P287" s="134"/>
      <c r="Q287" s="97"/>
      <c r="R287" s="97"/>
      <c r="S287" s="97"/>
      <c r="T287" s="97"/>
      <c r="U287" s="97"/>
      <c r="V287" s="97"/>
      <c r="W287" s="97"/>
      <c r="X287" s="142"/>
      <c r="Y287" s="142"/>
      <c r="Z287" s="142"/>
    </row>
    <row r="288">
      <c r="A288" s="104"/>
      <c r="B288" s="121"/>
      <c r="C288" s="132">
        <f t="shared" si="98"/>
        <v>45877</v>
      </c>
      <c r="D288" s="133"/>
      <c r="E288" s="121"/>
      <c r="F288" s="134" t="str">
        <f t="shared" si="99"/>
        <v/>
      </c>
      <c r="G288" s="134"/>
      <c r="H288" s="121"/>
      <c r="I288" s="133">
        <f t="shared" si="97"/>
        <v>0</v>
      </c>
      <c r="J288" s="134"/>
      <c r="K288" s="134"/>
      <c r="L288" s="134"/>
      <c r="M288" s="121"/>
      <c r="N288" s="134"/>
      <c r="O288" s="133"/>
      <c r="P288" s="133"/>
      <c r="Q288" s="97"/>
      <c r="R288" s="97"/>
      <c r="S288" s="97"/>
      <c r="T288" s="97"/>
      <c r="U288" s="97"/>
      <c r="V288" s="97"/>
      <c r="W288" s="97"/>
      <c r="X288" s="142"/>
      <c r="Y288" s="142"/>
      <c r="Z288" s="142"/>
    </row>
    <row r="289">
      <c r="A289" s="104"/>
      <c r="B289" s="121"/>
      <c r="C289" s="132">
        <f t="shared" si="98"/>
        <v>45878</v>
      </c>
      <c r="D289" s="133"/>
      <c r="E289" s="121"/>
      <c r="F289" s="134" t="str">
        <f t="shared" si="99"/>
        <v/>
      </c>
      <c r="G289" s="134"/>
      <c r="H289" s="121"/>
      <c r="I289" s="133">
        <f t="shared" si="97"/>
        <v>0</v>
      </c>
      <c r="J289" s="134"/>
      <c r="K289" s="134"/>
      <c r="L289" s="134"/>
      <c r="M289" s="121"/>
      <c r="N289" s="134"/>
      <c r="O289" s="133"/>
      <c r="P289" s="133"/>
      <c r="Q289" s="97"/>
      <c r="R289" s="97"/>
      <c r="S289" s="97"/>
      <c r="T289" s="97"/>
      <c r="U289" s="97"/>
      <c r="V289" s="97"/>
      <c r="W289" s="97"/>
      <c r="X289" s="142"/>
      <c r="Y289" s="142"/>
      <c r="Z289" s="142"/>
    </row>
    <row r="290">
      <c r="A290" s="104"/>
      <c r="B290" s="121"/>
      <c r="C290" s="135">
        <f t="shared" si="98"/>
        <v>45879</v>
      </c>
      <c r="D290" s="136"/>
      <c r="E290" s="121"/>
      <c r="F290" s="137" t="str">
        <f t="shared" si="99"/>
        <v/>
      </c>
      <c r="G290" s="137"/>
      <c r="H290" s="121"/>
      <c r="I290" s="136">
        <f t="shared" si="97"/>
        <v>0</v>
      </c>
      <c r="J290" s="137"/>
      <c r="K290" s="137"/>
      <c r="L290" s="137"/>
      <c r="M290" s="121"/>
      <c r="N290" s="137"/>
      <c r="O290" s="136"/>
      <c r="P290" s="137"/>
      <c r="Q290" s="97"/>
      <c r="R290" s="97"/>
      <c r="S290" s="97"/>
      <c r="T290" s="97"/>
      <c r="U290" s="97"/>
      <c r="V290" s="97"/>
      <c r="W290" s="97"/>
      <c r="X290" s="142"/>
      <c r="Y290" s="142"/>
      <c r="Z290" s="142"/>
    </row>
    <row r="291">
      <c r="A291" s="104"/>
      <c r="B291" s="138"/>
      <c r="C291" s="112" t="s">
        <v>51</v>
      </c>
      <c r="D291" s="116">
        <f>IFERROR(ROUND(AVERAGE(D284:D290),1),0)</f>
        <v>0</v>
      </c>
      <c r="E291" s="138"/>
      <c r="F291" s="115" t="s">
        <v>52</v>
      </c>
      <c r="G291" s="11"/>
      <c r="H291" s="138"/>
      <c r="I291" s="116">
        <f>IFERROR(ROUND(AVERAGEIF(I284:I290,"&lt;&gt;0"),0),0)</f>
        <v>0</v>
      </c>
      <c r="J291" s="116">
        <f t="shared" ref="J291:L291" si="100">IFERROR(ROUND(AVERAGE(J284:J290),0),0)</f>
        <v>0</v>
      </c>
      <c r="K291" s="116">
        <f t="shared" si="100"/>
        <v>0</v>
      </c>
      <c r="L291" s="116">
        <f t="shared" si="100"/>
        <v>0</v>
      </c>
      <c r="M291" s="138"/>
      <c r="N291" s="116">
        <f>IFERROR(ROUND(AVERAGE(N284:N290),0),0)</f>
        <v>0</v>
      </c>
      <c r="O291" s="116">
        <f>IFERROR(SUM(O284:O290),0)</f>
        <v>0</v>
      </c>
      <c r="P291" s="116">
        <f>IFERROR(COUNTA(P284:P290),0)</f>
        <v>0</v>
      </c>
      <c r="Q291" s="97"/>
      <c r="R291" s="97"/>
      <c r="S291" s="97"/>
      <c r="T291" s="97"/>
      <c r="U291" s="97"/>
      <c r="V291" s="97"/>
      <c r="W291" s="97"/>
      <c r="X291" s="142"/>
      <c r="Y291" s="142"/>
      <c r="Z291" s="142"/>
    </row>
    <row r="292">
      <c r="A292" s="97"/>
      <c r="B292" s="109"/>
      <c r="C292" s="97"/>
      <c r="D292" s="98"/>
      <c r="E292" s="140"/>
      <c r="F292" s="140"/>
      <c r="G292" s="140"/>
      <c r="H292" s="140"/>
      <c r="I292" s="140"/>
      <c r="J292" s="140"/>
      <c r="K292" s="140"/>
      <c r="L292" s="140"/>
      <c r="M292" s="140"/>
      <c r="N292" s="98"/>
      <c r="O292" s="98"/>
      <c r="P292" s="98"/>
      <c r="Q292" s="97"/>
      <c r="R292" s="97"/>
      <c r="S292" s="97"/>
      <c r="T292" s="97"/>
      <c r="U292" s="97"/>
      <c r="V292" s="97"/>
      <c r="W292" s="97"/>
      <c r="X292" s="142"/>
      <c r="Y292" s="142"/>
      <c r="Z292" s="142"/>
    </row>
    <row r="293">
      <c r="A293" s="97"/>
      <c r="B293" s="112" t="s">
        <v>30</v>
      </c>
      <c r="C293" s="112" t="s">
        <v>31</v>
      </c>
      <c r="D293" s="113" t="s">
        <v>256</v>
      </c>
      <c r="E293" s="114" t="s">
        <v>33</v>
      </c>
      <c r="F293" s="115" t="s">
        <v>257</v>
      </c>
      <c r="G293" s="11"/>
      <c r="H293" s="114" t="s">
        <v>35</v>
      </c>
      <c r="I293" s="113" t="s">
        <v>258</v>
      </c>
      <c r="J293" s="113" t="s">
        <v>259</v>
      </c>
      <c r="K293" s="113" t="s">
        <v>260</v>
      </c>
      <c r="L293" s="113" t="s">
        <v>261</v>
      </c>
      <c r="M293" s="114" t="s">
        <v>40</v>
      </c>
      <c r="N293" s="113" t="s">
        <v>25</v>
      </c>
      <c r="O293" s="116" t="s">
        <v>262</v>
      </c>
      <c r="P293" s="113" t="s">
        <v>263</v>
      </c>
      <c r="Q293" s="97"/>
      <c r="R293" s="97"/>
      <c r="S293" s="97"/>
      <c r="T293" s="97"/>
      <c r="U293" s="97"/>
      <c r="V293" s="97"/>
      <c r="W293" s="97"/>
      <c r="X293" s="142"/>
      <c r="Y293" s="142"/>
      <c r="Z293" s="142"/>
    </row>
    <row r="294">
      <c r="A294" s="104"/>
      <c r="B294" s="118">
        <f>B283+1</f>
        <v>27</v>
      </c>
      <c r="C294" s="119" t="s">
        <v>43</v>
      </c>
      <c r="D294" s="120" t="s">
        <v>44</v>
      </c>
      <c r="E294" s="121"/>
      <c r="F294" s="122" t="s">
        <v>45</v>
      </c>
      <c r="G294" s="11"/>
      <c r="H294" s="121"/>
      <c r="I294" s="123" t="s">
        <v>46</v>
      </c>
      <c r="J294" s="10"/>
      <c r="K294" s="10"/>
      <c r="L294" s="11"/>
      <c r="M294" s="121"/>
      <c r="N294" s="119"/>
      <c r="O294" s="119"/>
      <c r="P294" s="120"/>
      <c r="Q294" s="141"/>
      <c r="R294" s="141"/>
      <c r="S294" s="141"/>
      <c r="T294" s="141"/>
      <c r="U294" s="141"/>
      <c r="V294" s="141"/>
      <c r="W294" s="141"/>
      <c r="X294" s="142"/>
      <c r="Y294" s="142"/>
      <c r="Z294" s="142"/>
    </row>
    <row r="295">
      <c r="A295" s="104"/>
      <c r="B295" s="121"/>
      <c r="C295" s="126">
        <f>IF(ISBLANK($C$9),"",C290+1)</f>
        <v>45880</v>
      </c>
      <c r="D295" s="127"/>
      <c r="E295" s="121"/>
      <c r="F295" s="127" t="str">
        <f>IF(ISNUMBER(F290),F290+1,"")</f>
        <v/>
      </c>
      <c r="G295" s="128"/>
      <c r="H295" s="121"/>
      <c r="I295" s="127">
        <f t="shared" ref="I295:I301" si="101">J295*4+K295*4+L295*9</f>
        <v>0</v>
      </c>
      <c r="J295" s="127"/>
      <c r="K295" s="127"/>
      <c r="L295" s="127"/>
      <c r="M295" s="121"/>
      <c r="N295" s="128"/>
      <c r="O295" s="127"/>
      <c r="P295" s="127"/>
      <c r="Q295" s="97"/>
      <c r="R295" s="97"/>
      <c r="S295" s="97"/>
      <c r="T295" s="97"/>
      <c r="U295" s="97"/>
      <c r="V295" s="97"/>
      <c r="W295" s="97"/>
      <c r="X295" s="142"/>
      <c r="Y295" s="142"/>
      <c r="Z295" s="142"/>
    </row>
    <row r="296">
      <c r="A296" s="104"/>
      <c r="B296" s="121"/>
      <c r="C296" s="132">
        <f t="shared" ref="C296:C301" si="102">IF(ISBLANK($C$9),"",C295+1)</f>
        <v>45881</v>
      </c>
      <c r="D296" s="133"/>
      <c r="E296" s="121"/>
      <c r="F296" s="134" t="str">
        <f t="shared" ref="F296:F301" si="103">IF(ISNUMBER(F295),F295+1,"")</f>
        <v/>
      </c>
      <c r="G296" s="134"/>
      <c r="H296" s="121"/>
      <c r="I296" s="133">
        <f t="shared" si="101"/>
        <v>0</v>
      </c>
      <c r="J296" s="133"/>
      <c r="K296" s="133"/>
      <c r="L296" s="133"/>
      <c r="M296" s="121"/>
      <c r="N296" s="134"/>
      <c r="O296" s="133"/>
      <c r="P296" s="133"/>
      <c r="Q296" s="97"/>
      <c r="R296" s="97"/>
      <c r="S296" s="97"/>
      <c r="T296" s="97"/>
      <c r="U296" s="97"/>
      <c r="V296" s="97"/>
      <c r="W296" s="97"/>
      <c r="X296" s="142"/>
      <c r="Y296" s="142"/>
      <c r="Z296" s="142"/>
    </row>
    <row r="297">
      <c r="A297" s="104"/>
      <c r="B297" s="121"/>
      <c r="C297" s="132">
        <f t="shared" si="102"/>
        <v>45882</v>
      </c>
      <c r="D297" s="133"/>
      <c r="E297" s="121"/>
      <c r="F297" s="134" t="str">
        <f t="shared" si="103"/>
        <v/>
      </c>
      <c r="G297" s="134"/>
      <c r="H297" s="121"/>
      <c r="I297" s="133">
        <f t="shared" si="101"/>
        <v>0</v>
      </c>
      <c r="J297" s="133"/>
      <c r="K297" s="133"/>
      <c r="L297" s="133"/>
      <c r="M297" s="121"/>
      <c r="N297" s="134"/>
      <c r="O297" s="133"/>
      <c r="P297" s="133"/>
      <c r="Q297" s="97"/>
      <c r="R297" s="97"/>
      <c r="S297" s="97"/>
      <c r="T297" s="97"/>
      <c r="U297" s="97"/>
      <c r="V297" s="97"/>
      <c r="W297" s="97"/>
      <c r="X297" s="142"/>
      <c r="Y297" s="142"/>
      <c r="Z297" s="142"/>
    </row>
    <row r="298">
      <c r="A298" s="104"/>
      <c r="B298" s="121"/>
      <c r="C298" s="132">
        <f t="shared" si="102"/>
        <v>45883</v>
      </c>
      <c r="D298" s="133"/>
      <c r="E298" s="121"/>
      <c r="F298" s="134" t="str">
        <f t="shared" si="103"/>
        <v/>
      </c>
      <c r="G298" s="134"/>
      <c r="H298" s="121"/>
      <c r="I298" s="133">
        <f t="shared" si="101"/>
        <v>0</v>
      </c>
      <c r="J298" s="134"/>
      <c r="K298" s="134"/>
      <c r="L298" s="134"/>
      <c r="M298" s="121"/>
      <c r="N298" s="134"/>
      <c r="O298" s="133"/>
      <c r="P298" s="134"/>
      <c r="Q298" s="97"/>
      <c r="R298" s="97"/>
      <c r="S298" s="97"/>
      <c r="T298" s="97"/>
      <c r="U298" s="97"/>
      <c r="V298" s="97"/>
      <c r="W298" s="97"/>
      <c r="X298" s="142"/>
      <c r="Y298" s="142"/>
      <c r="Z298" s="142"/>
    </row>
    <row r="299">
      <c r="A299" s="104"/>
      <c r="B299" s="121"/>
      <c r="C299" s="132">
        <f t="shared" si="102"/>
        <v>45884</v>
      </c>
      <c r="D299" s="133"/>
      <c r="E299" s="121"/>
      <c r="F299" s="134" t="str">
        <f t="shared" si="103"/>
        <v/>
      </c>
      <c r="G299" s="134"/>
      <c r="H299" s="121"/>
      <c r="I299" s="133">
        <f t="shared" si="101"/>
        <v>0</v>
      </c>
      <c r="J299" s="134"/>
      <c r="K299" s="134"/>
      <c r="L299" s="134"/>
      <c r="M299" s="121"/>
      <c r="N299" s="134"/>
      <c r="O299" s="133"/>
      <c r="P299" s="133"/>
      <c r="Q299" s="97"/>
      <c r="R299" s="97"/>
      <c r="S299" s="97"/>
      <c r="T299" s="97"/>
      <c r="U299" s="97"/>
      <c r="V299" s="97"/>
      <c r="W299" s="97"/>
      <c r="X299" s="142"/>
      <c r="Y299" s="142"/>
      <c r="Z299" s="142"/>
    </row>
    <row r="300">
      <c r="A300" s="104"/>
      <c r="B300" s="121"/>
      <c r="C300" s="132">
        <f t="shared" si="102"/>
        <v>45885</v>
      </c>
      <c r="D300" s="133"/>
      <c r="E300" s="121"/>
      <c r="F300" s="134" t="str">
        <f t="shared" si="103"/>
        <v/>
      </c>
      <c r="G300" s="134"/>
      <c r="H300" s="121"/>
      <c r="I300" s="133">
        <f t="shared" si="101"/>
        <v>0</v>
      </c>
      <c r="J300" s="134"/>
      <c r="K300" s="134"/>
      <c r="L300" s="134"/>
      <c r="M300" s="121"/>
      <c r="N300" s="134"/>
      <c r="O300" s="133"/>
      <c r="P300" s="133"/>
      <c r="Q300" s="97"/>
      <c r="R300" s="97"/>
      <c r="S300" s="97"/>
      <c r="T300" s="97"/>
      <c r="U300" s="97"/>
      <c r="V300" s="97"/>
      <c r="W300" s="97"/>
      <c r="X300" s="142"/>
      <c r="Y300" s="142"/>
      <c r="Z300" s="142"/>
    </row>
    <row r="301">
      <c r="A301" s="104"/>
      <c r="B301" s="121"/>
      <c r="C301" s="135">
        <f t="shared" si="102"/>
        <v>45886</v>
      </c>
      <c r="D301" s="136"/>
      <c r="E301" s="121"/>
      <c r="F301" s="137" t="str">
        <f t="shared" si="103"/>
        <v/>
      </c>
      <c r="G301" s="137"/>
      <c r="H301" s="121"/>
      <c r="I301" s="136">
        <f t="shared" si="101"/>
        <v>0</v>
      </c>
      <c r="J301" s="137"/>
      <c r="K301" s="137"/>
      <c r="L301" s="137"/>
      <c r="M301" s="121"/>
      <c r="N301" s="137"/>
      <c r="O301" s="136"/>
      <c r="P301" s="137"/>
      <c r="Q301" s="97"/>
      <c r="R301" s="97"/>
      <c r="S301" s="97"/>
      <c r="T301" s="97"/>
      <c r="U301" s="97"/>
      <c r="V301" s="97"/>
      <c r="W301" s="97"/>
      <c r="X301" s="142"/>
      <c r="Y301" s="142"/>
      <c r="Z301" s="142"/>
    </row>
    <row r="302">
      <c r="A302" s="104"/>
      <c r="B302" s="138"/>
      <c r="C302" s="112" t="s">
        <v>51</v>
      </c>
      <c r="D302" s="116">
        <f>IFERROR(ROUND(AVERAGE(D295:D301),1),0)</f>
        <v>0</v>
      </c>
      <c r="E302" s="138"/>
      <c r="F302" s="115" t="s">
        <v>52</v>
      </c>
      <c r="G302" s="11"/>
      <c r="H302" s="138"/>
      <c r="I302" s="116">
        <f>IFERROR(ROUND(AVERAGEIF(I295:I301,"&lt;&gt;0"),0),0)</f>
        <v>0</v>
      </c>
      <c r="J302" s="116">
        <f t="shared" ref="J302:L302" si="104">IFERROR(ROUND(AVERAGE(J295:J301),0),0)</f>
        <v>0</v>
      </c>
      <c r="K302" s="116">
        <f t="shared" si="104"/>
        <v>0</v>
      </c>
      <c r="L302" s="116">
        <f t="shared" si="104"/>
        <v>0</v>
      </c>
      <c r="M302" s="138"/>
      <c r="N302" s="116">
        <f>IFERROR(ROUND(AVERAGE(N295:N301),0),0)</f>
        <v>0</v>
      </c>
      <c r="O302" s="116">
        <f>IFERROR(SUM(O295:O301),0)</f>
        <v>0</v>
      </c>
      <c r="P302" s="116">
        <f>IFERROR(COUNTA(P295:P301),0)</f>
        <v>0</v>
      </c>
      <c r="Q302" s="97"/>
      <c r="R302" s="97"/>
      <c r="S302" s="97"/>
      <c r="T302" s="97"/>
      <c r="U302" s="97"/>
      <c r="V302" s="97"/>
      <c r="W302" s="97"/>
      <c r="X302" s="142"/>
      <c r="Y302" s="142"/>
      <c r="Z302" s="142"/>
    </row>
    <row r="303">
      <c r="A303" s="97"/>
      <c r="B303" s="109"/>
      <c r="C303" s="97"/>
      <c r="D303" s="98"/>
      <c r="E303" s="140"/>
      <c r="F303" s="140"/>
      <c r="G303" s="140"/>
      <c r="H303" s="140"/>
      <c r="I303" s="140"/>
      <c r="J303" s="140"/>
      <c r="K303" s="140"/>
      <c r="L303" s="140"/>
      <c r="M303" s="140"/>
      <c r="N303" s="98"/>
      <c r="O303" s="98"/>
      <c r="P303" s="98"/>
      <c r="Q303" s="97"/>
      <c r="R303" s="97"/>
      <c r="S303" s="97"/>
      <c r="T303" s="97"/>
      <c r="U303" s="97"/>
      <c r="V303" s="97"/>
      <c r="W303" s="97"/>
      <c r="X303" s="142"/>
      <c r="Y303" s="142"/>
      <c r="Z303" s="142"/>
    </row>
    <row r="304">
      <c r="A304" s="97"/>
      <c r="B304" s="112" t="s">
        <v>30</v>
      </c>
      <c r="C304" s="112" t="s">
        <v>31</v>
      </c>
      <c r="D304" s="113" t="s">
        <v>264</v>
      </c>
      <c r="E304" s="114" t="s">
        <v>33</v>
      </c>
      <c r="F304" s="115" t="s">
        <v>265</v>
      </c>
      <c r="G304" s="11"/>
      <c r="H304" s="114" t="s">
        <v>35</v>
      </c>
      <c r="I304" s="113" t="s">
        <v>266</v>
      </c>
      <c r="J304" s="113" t="s">
        <v>267</v>
      </c>
      <c r="K304" s="113" t="s">
        <v>268</v>
      </c>
      <c r="L304" s="113" t="s">
        <v>269</v>
      </c>
      <c r="M304" s="114" t="s">
        <v>40</v>
      </c>
      <c r="N304" s="113" t="s">
        <v>25</v>
      </c>
      <c r="O304" s="116" t="s">
        <v>270</v>
      </c>
      <c r="P304" s="113" t="s">
        <v>271</v>
      </c>
      <c r="Q304" s="97"/>
      <c r="R304" s="97"/>
      <c r="S304" s="97"/>
      <c r="T304" s="97"/>
      <c r="U304" s="97"/>
      <c r="V304" s="97"/>
      <c r="W304" s="97"/>
      <c r="X304" s="142"/>
      <c r="Y304" s="142"/>
      <c r="Z304" s="142"/>
    </row>
    <row r="305">
      <c r="A305" s="104"/>
      <c r="B305" s="118">
        <f>B294+1</f>
        <v>28</v>
      </c>
      <c r="C305" s="119" t="s">
        <v>43</v>
      </c>
      <c r="D305" s="120" t="s">
        <v>44</v>
      </c>
      <c r="E305" s="121"/>
      <c r="F305" s="122" t="s">
        <v>45</v>
      </c>
      <c r="G305" s="11"/>
      <c r="H305" s="121"/>
      <c r="I305" s="123" t="s">
        <v>46</v>
      </c>
      <c r="J305" s="10"/>
      <c r="K305" s="10"/>
      <c r="L305" s="11"/>
      <c r="M305" s="121"/>
      <c r="N305" s="119"/>
      <c r="O305" s="119"/>
      <c r="P305" s="120"/>
      <c r="Q305" s="141"/>
      <c r="R305" s="141"/>
      <c r="S305" s="141"/>
      <c r="T305" s="141"/>
      <c r="U305" s="141"/>
      <c r="V305" s="141"/>
      <c r="W305" s="141"/>
      <c r="X305" s="142"/>
      <c r="Y305" s="142"/>
      <c r="Z305" s="142"/>
    </row>
    <row r="306">
      <c r="A306" s="104"/>
      <c r="B306" s="121"/>
      <c r="C306" s="126">
        <f>IF(ISBLANK($C$9),"",C301+1)</f>
        <v>45887</v>
      </c>
      <c r="D306" s="127"/>
      <c r="E306" s="121"/>
      <c r="F306" s="127" t="str">
        <f>IF(ISNUMBER(F301),F301+1,"")</f>
        <v/>
      </c>
      <c r="G306" s="128"/>
      <c r="H306" s="121"/>
      <c r="I306" s="127">
        <f t="shared" ref="I306:I312" si="105">J306*4+K306*4+L306*9</f>
        <v>0</v>
      </c>
      <c r="J306" s="127"/>
      <c r="K306" s="127"/>
      <c r="L306" s="127"/>
      <c r="M306" s="121"/>
      <c r="N306" s="128"/>
      <c r="O306" s="127"/>
      <c r="P306" s="127"/>
      <c r="Q306" s="97"/>
      <c r="R306" s="97"/>
      <c r="S306" s="97"/>
      <c r="T306" s="97"/>
      <c r="U306" s="97"/>
      <c r="V306" s="97"/>
      <c r="W306" s="97"/>
      <c r="X306" s="142"/>
      <c r="Y306" s="142"/>
      <c r="Z306" s="142"/>
    </row>
    <row r="307">
      <c r="A307" s="104"/>
      <c r="B307" s="121"/>
      <c r="C307" s="132">
        <f t="shared" ref="C307:C312" si="106">IF(ISBLANK($C$9),"",C306+1)</f>
        <v>45888</v>
      </c>
      <c r="D307" s="133"/>
      <c r="E307" s="121"/>
      <c r="F307" s="134" t="str">
        <f t="shared" ref="F307:F312" si="107">IF(ISNUMBER(F306),F306+1,"")</f>
        <v/>
      </c>
      <c r="G307" s="134"/>
      <c r="H307" s="121"/>
      <c r="I307" s="133">
        <f t="shared" si="105"/>
        <v>0</v>
      </c>
      <c r="J307" s="133"/>
      <c r="K307" s="133"/>
      <c r="L307" s="133"/>
      <c r="M307" s="121"/>
      <c r="N307" s="134"/>
      <c r="O307" s="133"/>
      <c r="P307" s="133"/>
      <c r="Q307" s="97"/>
      <c r="R307" s="97"/>
      <c r="S307" s="97"/>
      <c r="T307" s="97"/>
      <c r="U307" s="97"/>
      <c r="V307" s="97"/>
      <c r="W307" s="97"/>
      <c r="X307" s="142"/>
      <c r="Y307" s="142"/>
      <c r="Z307" s="142"/>
    </row>
    <row r="308">
      <c r="A308" s="104"/>
      <c r="B308" s="121"/>
      <c r="C308" s="132">
        <f t="shared" si="106"/>
        <v>45889</v>
      </c>
      <c r="D308" s="133"/>
      <c r="E308" s="121"/>
      <c r="F308" s="134" t="str">
        <f t="shared" si="107"/>
        <v/>
      </c>
      <c r="G308" s="134"/>
      <c r="H308" s="121"/>
      <c r="I308" s="133">
        <f t="shared" si="105"/>
        <v>0</v>
      </c>
      <c r="J308" s="133"/>
      <c r="K308" s="133"/>
      <c r="L308" s="133"/>
      <c r="M308" s="121"/>
      <c r="N308" s="134"/>
      <c r="O308" s="133"/>
      <c r="P308" s="133"/>
      <c r="Q308" s="97"/>
      <c r="R308" s="97"/>
      <c r="S308" s="97"/>
      <c r="T308" s="97"/>
      <c r="U308" s="97"/>
      <c r="V308" s="97"/>
      <c r="W308" s="97"/>
      <c r="X308" s="142"/>
      <c r="Y308" s="142"/>
      <c r="Z308" s="142"/>
    </row>
    <row r="309">
      <c r="A309" s="104"/>
      <c r="B309" s="121"/>
      <c r="C309" s="132">
        <f t="shared" si="106"/>
        <v>45890</v>
      </c>
      <c r="D309" s="133"/>
      <c r="E309" s="121"/>
      <c r="F309" s="134" t="str">
        <f t="shared" si="107"/>
        <v/>
      </c>
      <c r="G309" s="134"/>
      <c r="H309" s="121"/>
      <c r="I309" s="133">
        <f t="shared" si="105"/>
        <v>0</v>
      </c>
      <c r="J309" s="134"/>
      <c r="K309" s="134"/>
      <c r="L309" s="134"/>
      <c r="M309" s="121"/>
      <c r="N309" s="134"/>
      <c r="O309" s="133"/>
      <c r="P309" s="134"/>
      <c r="Q309" s="97"/>
      <c r="R309" s="97"/>
      <c r="S309" s="97"/>
      <c r="T309" s="97"/>
      <c r="U309" s="97"/>
      <c r="V309" s="97"/>
      <c r="W309" s="97"/>
      <c r="X309" s="142"/>
      <c r="Y309" s="142"/>
      <c r="Z309" s="142"/>
    </row>
    <row r="310">
      <c r="A310" s="104"/>
      <c r="B310" s="121"/>
      <c r="C310" s="132">
        <f t="shared" si="106"/>
        <v>45891</v>
      </c>
      <c r="D310" s="133"/>
      <c r="E310" s="121"/>
      <c r="F310" s="134" t="str">
        <f t="shared" si="107"/>
        <v/>
      </c>
      <c r="G310" s="134"/>
      <c r="H310" s="121"/>
      <c r="I310" s="133">
        <f t="shared" si="105"/>
        <v>0</v>
      </c>
      <c r="J310" s="134"/>
      <c r="K310" s="134"/>
      <c r="L310" s="134"/>
      <c r="M310" s="121"/>
      <c r="N310" s="134"/>
      <c r="O310" s="133"/>
      <c r="P310" s="133"/>
      <c r="Q310" s="97"/>
      <c r="R310" s="97"/>
      <c r="S310" s="97"/>
      <c r="T310" s="97"/>
      <c r="U310" s="97"/>
      <c r="V310" s="97"/>
      <c r="W310" s="97"/>
      <c r="X310" s="142"/>
      <c r="Y310" s="142"/>
      <c r="Z310" s="142"/>
    </row>
    <row r="311">
      <c r="A311" s="104"/>
      <c r="B311" s="121"/>
      <c r="C311" s="132">
        <f t="shared" si="106"/>
        <v>45892</v>
      </c>
      <c r="D311" s="133"/>
      <c r="E311" s="121"/>
      <c r="F311" s="134" t="str">
        <f t="shared" si="107"/>
        <v/>
      </c>
      <c r="G311" s="134"/>
      <c r="H311" s="121"/>
      <c r="I311" s="133">
        <f t="shared" si="105"/>
        <v>0</v>
      </c>
      <c r="J311" s="134"/>
      <c r="K311" s="134"/>
      <c r="L311" s="134"/>
      <c r="M311" s="121"/>
      <c r="N311" s="134"/>
      <c r="O311" s="133"/>
      <c r="P311" s="133"/>
      <c r="Q311" s="97"/>
      <c r="R311" s="97"/>
      <c r="S311" s="97"/>
      <c r="T311" s="97"/>
      <c r="U311" s="97"/>
      <c r="V311" s="97"/>
      <c r="W311" s="97"/>
      <c r="X311" s="142"/>
      <c r="Y311" s="142"/>
      <c r="Z311" s="142"/>
    </row>
    <row r="312">
      <c r="A312" s="104"/>
      <c r="B312" s="121"/>
      <c r="C312" s="135">
        <f t="shared" si="106"/>
        <v>45893</v>
      </c>
      <c r="D312" s="136"/>
      <c r="E312" s="121"/>
      <c r="F312" s="137" t="str">
        <f t="shared" si="107"/>
        <v/>
      </c>
      <c r="G312" s="137"/>
      <c r="H312" s="121"/>
      <c r="I312" s="136">
        <f t="shared" si="105"/>
        <v>0</v>
      </c>
      <c r="J312" s="137"/>
      <c r="K312" s="137"/>
      <c r="L312" s="137"/>
      <c r="M312" s="121"/>
      <c r="N312" s="137"/>
      <c r="O312" s="136"/>
      <c r="P312" s="137"/>
      <c r="Q312" s="97"/>
      <c r="R312" s="97"/>
      <c r="S312" s="97"/>
      <c r="T312" s="97"/>
      <c r="U312" s="97"/>
      <c r="V312" s="97"/>
      <c r="W312" s="97"/>
      <c r="X312" s="142"/>
      <c r="Y312" s="142"/>
      <c r="Z312" s="142"/>
    </row>
    <row r="313">
      <c r="A313" s="104"/>
      <c r="B313" s="138"/>
      <c r="C313" s="112" t="s">
        <v>51</v>
      </c>
      <c r="D313" s="116">
        <f>IFERROR(ROUND(AVERAGE(D306:D312),1),0)</f>
        <v>0</v>
      </c>
      <c r="E313" s="138"/>
      <c r="F313" s="115" t="s">
        <v>52</v>
      </c>
      <c r="G313" s="11"/>
      <c r="H313" s="138"/>
      <c r="I313" s="116">
        <f>IFERROR(ROUND(AVERAGEIF(I306:I312,"&lt;&gt;0"),0),0)</f>
        <v>0</v>
      </c>
      <c r="J313" s="116">
        <f t="shared" ref="J313:L313" si="108">IFERROR(ROUND(AVERAGE(J306:J312),0),0)</f>
        <v>0</v>
      </c>
      <c r="K313" s="116">
        <f t="shared" si="108"/>
        <v>0</v>
      </c>
      <c r="L313" s="116">
        <f t="shared" si="108"/>
        <v>0</v>
      </c>
      <c r="M313" s="138"/>
      <c r="N313" s="116">
        <f>IFERROR(ROUND(AVERAGE(N306:N312),0),0)</f>
        <v>0</v>
      </c>
      <c r="O313" s="116">
        <f>IFERROR(SUM(O306:O312),0)</f>
        <v>0</v>
      </c>
      <c r="P313" s="116">
        <f>IFERROR(COUNTA(P306:P312),0)</f>
        <v>0</v>
      </c>
      <c r="Q313" s="97"/>
      <c r="R313" s="97"/>
      <c r="S313" s="97"/>
      <c r="T313" s="97"/>
      <c r="U313" s="97"/>
      <c r="V313" s="97"/>
      <c r="W313" s="97"/>
      <c r="X313" s="142"/>
      <c r="Y313" s="142"/>
      <c r="Z313" s="142"/>
    </row>
    <row r="314">
      <c r="A314" s="97"/>
      <c r="B314" s="109"/>
      <c r="C314" s="97"/>
      <c r="D314" s="98"/>
      <c r="E314" s="140"/>
      <c r="F314" s="140"/>
      <c r="G314" s="140"/>
      <c r="H314" s="140"/>
      <c r="I314" s="140"/>
      <c r="J314" s="140"/>
      <c r="K314" s="140"/>
      <c r="L314" s="140"/>
      <c r="M314" s="140"/>
      <c r="N314" s="98"/>
      <c r="O314" s="98"/>
      <c r="P314" s="98"/>
      <c r="Q314" s="97"/>
      <c r="R314" s="97"/>
      <c r="S314" s="97"/>
      <c r="T314" s="97"/>
      <c r="U314" s="97"/>
      <c r="V314" s="97"/>
      <c r="W314" s="97"/>
      <c r="X314" s="142"/>
      <c r="Y314" s="142"/>
      <c r="Z314" s="142"/>
    </row>
    <row r="315">
      <c r="A315" s="97"/>
      <c r="B315" s="112" t="s">
        <v>30</v>
      </c>
      <c r="C315" s="112" t="s">
        <v>31</v>
      </c>
      <c r="D315" s="113" t="s">
        <v>272</v>
      </c>
      <c r="E315" s="114" t="s">
        <v>33</v>
      </c>
      <c r="F315" s="115" t="s">
        <v>273</v>
      </c>
      <c r="G315" s="11"/>
      <c r="H315" s="114" t="s">
        <v>35</v>
      </c>
      <c r="I315" s="113" t="s">
        <v>274</v>
      </c>
      <c r="J315" s="113" t="s">
        <v>275</v>
      </c>
      <c r="K315" s="113" t="s">
        <v>276</v>
      </c>
      <c r="L315" s="113" t="s">
        <v>277</v>
      </c>
      <c r="M315" s="114" t="s">
        <v>40</v>
      </c>
      <c r="N315" s="113" t="s">
        <v>25</v>
      </c>
      <c r="O315" s="116" t="s">
        <v>278</v>
      </c>
      <c r="P315" s="113" t="s">
        <v>279</v>
      </c>
      <c r="Q315" s="97"/>
      <c r="R315" s="97"/>
      <c r="S315" s="97"/>
      <c r="T315" s="97"/>
      <c r="U315" s="97"/>
      <c r="V315" s="97"/>
      <c r="W315" s="97"/>
      <c r="X315" s="142"/>
      <c r="Y315" s="142"/>
      <c r="Z315" s="142"/>
    </row>
    <row r="316">
      <c r="A316" s="104"/>
      <c r="B316" s="118">
        <f>B305+1</f>
        <v>29</v>
      </c>
      <c r="C316" s="119" t="s">
        <v>43</v>
      </c>
      <c r="D316" s="120" t="s">
        <v>44</v>
      </c>
      <c r="E316" s="121"/>
      <c r="F316" s="122" t="s">
        <v>45</v>
      </c>
      <c r="G316" s="11"/>
      <c r="H316" s="121"/>
      <c r="I316" s="123" t="s">
        <v>46</v>
      </c>
      <c r="J316" s="10"/>
      <c r="K316" s="10"/>
      <c r="L316" s="11"/>
      <c r="M316" s="121"/>
      <c r="N316" s="119"/>
      <c r="O316" s="119"/>
      <c r="P316" s="120"/>
      <c r="Q316" s="141"/>
      <c r="R316" s="141"/>
      <c r="S316" s="141"/>
      <c r="T316" s="141"/>
      <c r="U316" s="141"/>
      <c r="V316" s="141"/>
      <c r="W316" s="141"/>
      <c r="X316" s="142"/>
      <c r="Y316" s="142"/>
      <c r="Z316" s="142"/>
    </row>
    <row r="317">
      <c r="A317" s="104"/>
      <c r="B317" s="121"/>
      <c r="C317" s="126">
        <f>IF(ISBLANK($C$9),"",C312+1)</f>
        <v>45894</v>
      </c>
      <c r="D317" s="127"/>
      <c r="E317" s="121"/>
      <c r="F317" s="127" t="str">
        <f>IF(ISNUMBER(F312),F312+1,"")</f>
        <v/>
      </c>
      <c r="G317" s="128"/>
      <c r="H317" s="121"/>
      <c r="I317" s="127">
        <f t="shared" ref="I317:I323" si="109">J317*4+K317*4+L317*9</f>
        <v>0</v>
      </c>
      <c r="J317" s="127"/>
      <c r="K317" s="127"/>
      <c r="L317" s="127"/>
      <c r="M317" s="121"/>
      <c r="N317" s="128"/>
      <c r="O317" s="127"/>
      <c r="P317" s="127"/>
      <c r="Q317" s="97"/>
      <c r="R317" s="97"/>
      <c r="S317" s="97"/>
      <c r="T317" s="97"/>
      <c r="U317" s="97"/>
      <c r="V317" s="97"/>
      <c r="W317" s="97"/>
      <c r="X317" s="142"/>
      <c r="Y317" s="142"/>
      <c r="Z317" s="142"/>
    </row>
    <row r="318">
      <c r="A318" s="104"/>
      <c r="B318" s="121"/>
      <c r="C318" s="132">
        <f t="shared" ref="C318:C323" si="110">IF(ISBLANK($C$9),"",C317+1)</f>
        <v>45895</v>
      </c>
      <c r="D318" s="133"/>
      <c r="E318" s="121"/>
      <c r="F318" s="134" t="str">
        <f t="shared" ref="F318:F323" si="111">IF(ISNUMBER(F317),F317+1,"")</f>
        <v/>
      </c>
      <c r="G318" s="134"/>
      <c r="H318" s="121"/>
      <c r="I318" s="133">
        <f t="shared" si="109"/>
        <v>0</v>
      </c>
      <c r="J318" s="133"/>
      <c r="K318" s="133"/>
      <c r="L318" s="133"/>
      <c r="M318" s="121"/>
      <c r="N318" s="134"/>
      <c r="O318" s="133"/>
      <c r="P318" s="133"/>
      <c r="Q318" s="97"/>
      <c r="R318" s="97"/>
      <c r="S318" s="97"/>
      <c r="T318" s="97"/>
      <c r="U318" s="97"/>
      <c r="V318" s="97"/>
      <c r="W318" s="97"/>
      <c r="X318" s="142"/>
      <c r="Y318" s="142"/>
      <c r="Z318" s="142"/>
    </row>
    <row r="319">
      <c r="A319" s="104"/>
      <c r="B319" s="121"/>
      <c r="C319" s="132">
        <f t="shared" si="110"/>
        <v>45896</v>
      </c>
      <c r="D319" s="133"/>
      <c r="E319" s="121"/>
      <c r="F319" s="134" t="str">
        <f t="shared" si="111"/>
        <v/>
      </c>
      <c r="G319" s="134"/>
      <c r="H319" s="121"/>
      <c r="I319" s="133">
        <f t="shared" si="109"/>
        <v>0</v>
      </c>
      <c r="J319" s="133"/>
      <c r="K319" s="133"/>
      <c r="L319" s="133"/>
      <c r="M319" s="121"/>
      <c r="N319" s="134"/>
      <c r="O319" s="133"/>
      <c r="P319" s="133"/>
      <c r="Q319" s="97"/>
      <c r="R319" s="97"/>
      <c r="S319" s="97"/>
      <c r="T319" s="97"/>
      <c r="U319" s="97"/>
      <c r="V319" s="97"/>
      <c r="W319" s="97"/>
      <c r="X319" s="142"/>
      <c r="Y319" s="142"/>
      <c r="Z319" s="142"/>
    </row>
    <row r="320">
      <c r="A320" s="104"/>
      <c r="B320" s="121"/>
      <c r="C320" s="132">
        <f t="shared" si="110"/>
        <v>45897</v>
      </c>
      <c r="D320" s="133"/>
      <c r="E320" s="121"/>
      <c r="F320" s="134" t="str">
        <f t="shared" si="111"/>
        <v/>
      </c>
      <c r="G320" s="134"/>
      <c r="H320" s="121"/>
      <c r="I320" s="133">
        <f t="shared" si="109"/>
        <v>0</v>
      </c>
      <c r="J320" s="134"/>
      <c r="K320" s="134"/>
      <c r="L320" s="134"/>
      <c r="M320" s="121"/>
      <c r="N320" s="134"/>
      <c r="O320" s="133"/>
      <c r="P320" s="134"/>
      <c r="Q320" s="97"/>
      <c r="R320" s="97"/>
      <c r="S320" s="97"/>
      <c r="T320" s="97"/>
      <c r="U320" s="97"/>
      <c r="V320" s="97"/>
      <c r="W320" s="97"/>
      <c r="X320" s="142"/>
      <c r="Y320" s="142"/>
      <c r="Z320" s="142"/>
    </row>
    <row r="321">
      <c r="A321" s="104"/>
      <c r="B321" s="121"/>
      <c r="C321" s="132">
        <f t="shared" si="110"/>
        <v>45898</v>
      </c>
      <c r="D321" s="133"/>
      <c r="E321" s="121"/>
      <c r="F321" s="134" t="str">
        <f t="shared" si="111"/>
        <v/>
      </c>
      <c r="G321" s="134"/>
      <c r="H321" s="121"/>
      <c r="I321" s="133">
        <f t="shared" si="109"/>
        <v>0</v>
      </c>
      <c r="J321" s="134"/>
      <c r="K321" s="134"/>
      <c r="L321" s="134"/>
      <c r="M321" s="121"/>
      <c r="N321" s="134"/>
      <c r="O321" s="133"/>
      <c r="P321" s="133"/>
      <c r="Q321" s="97"/>
      <c r="R321" s="97"/>
      <c r="S321" s="97"/>
      <c r="T321" s="97"/>
      <c r="U321" s="97"/>
      <c r="V321" s="97"/>
      <c r="W321" s="97"/>
      <c r="X321" s="142"/>
      <c r="Y321" s="142"/>
      <c r="Z321" s="142"/>
    </row>
    <row r="322">
      <c r="A322" s="104"/>
      <c r="B322" s="121"/>
      <c r="C322" s="132">
        <f t="shared" si="110"/>
        <v>45899</v>
      </c>
      <c r="D322" s="133"/>
      <c r="E322" s="121"/>
      <c r="F322" s="134" t="str">
        <f t="shared" si="111"/>
        <v/>
      </c>
      <c r="G322" s="134"/>
      <c r="H322" s="121"/>
      <c r="I322" s="133">
        <f t="shared" si="109"/>
        <v>0</v>
      </c>
      <c r="J322" s="134"/>
      <c r="K322" s="134"/>
      <c r="L322" s="134"/>
      <c r="M322" s="121"/>
      <c r="N322" s="134"/>
      <c r="O322" s="133"/>
      <c r="P322" s="133"/>
      <c r="Q322" s="97"/>
      <c r="R322" s="97"/>
      <c r="S322" s="97"/>
      <c r="T322" s="97"/>
      <c r="U322" s="97"/>
      <c r="V322" s="97"/>
      <c r="W322" s="97"/>
      <c r="X322" s="142"/>
      <c r="Y322" s="142"/>
      <c r="Z322" s="142"/>
    </row>
    <row r="323">
      <c r="A323" s="104"/>
      <c r="B323" s="121"/>
      <c r="C323" s="135">
        <f t="shared" si="110"/>
        <v>45900</v>
      </c>
      <c r="D323" s="136"/>
      <c r="E323" s="121"/>
      <c r="F323" s="137" t="str">
        <f t="shared" si="111"/>
        <v/>
      </c>
      <c r="G323" s="137"/>
      <c r="H323" s="121"/>
      <c r="I323" s="136">
        <f t="shared" si="109"/>
        <v>0</v>
      </c>
      <c r="J323" s="137"/>
      <c r="K323" s="137"/>
      <c r="L323" s="137"/>
      <c r="M323" s="121"/>
      <c r="N323" s="137"/>
      <c r="O323" s="136"/>
      <c r="P323" s="137"/>
      <c r="Q323" s="97"/>
      <c r="R323" s="97"/>
      <c r="S323" s="97"/>
      <c r="T323" s="97"/>
      <c r="U323" s="97"/>
      <c r="V323" s="97"/>
      <c r="W323" s="97"/>
      <c r="X323" s="142"/>
      <c r="Y323" s="142"/>
      <c r="Z323" s="142"/>
    </row>
    <row r="324">
      <c r="A324" s="104"/>
      <c r="B324" s="138"/>
      <c r="C324" s="112" t="s">
        <v>51</v>
      </c>
      <c r="D324" s="116">
        <f>IFERROR(ROUND(AVERAGE(D317:D323),1),0)</f>
        <v>0</v>
      </c>
      <c r="E324" s="138"/>
      <c r="F324" s="115" t="s">
        <v>52</v>
      </c>
      <c r="G324" s="11"/>
      <c r="H324" s="138"/>
      <c r="I324" s="116">
        <f>IFERROR(ROUND(AVERAGEIF(I317:I323,"&lt;&gt;0"),0),0)</f>
        <v>0</v>
      </c>
      <c r="J324" s="116">
        <f t="shared" ref="J324:L324" si="112">IFERROR(ROUND(AVERAGE(J317:J323),0),0)</f>
        <v>0</v>
      </c>
      <c r="K324" s="116">
        <f t="shared" si="112"/>
        <v>0</v>
      </c>
      <c r="L324" s="116">
        <f t="shared" si="112"/>
        <v>0</v>
      </c>
      <c r="M324" s="138"/>
      <c r="N324" s="116">
        <f>IFERROR(ROUND(AVERAGE(N317:N323),0),0)</f>
        <v>0</v>
      </c>
      <c r="O324" s="116">
        <f>IFERROR(SUM(O317:O323),0)</f>
        <v>0</v>
      </c>
      <c r="P324" s="116">
        <f>IFERROR(COUNTA(P317:P323),0)</f>
        <v>0</v>
      </c>
      <c r="Q324" s="97"/>
      <c r="R324" s="97"/>
      <c r="S324" s="97"/>
      <c r="T324" s="97"/>
      <c r="U324" s="97"/>
      <c r="V324" s="97"/>
      <c r="W324" s="97"/>
      <c r="X324" s="142"/>
      <c r="Y324" s="142"/>
      <c r="Z324" s="142"/>
    </row>
    <row r="325">
      <c r="A325" s="97"/>
      <c r="B325" s="109"/>
      <c r="C325" s="97"/>
      <c r="D325" s="98"/>
      <c r="E325" s="140"/>
      <c r="F325" s="140"/>
      <c r="G325" s="140"/>
      <c r="H325" s="140"/>
      <c r="I325" s="140"/>
      <c r="J325" s="140"/>
      <c r="K325" s="140"/>
      <c r="L325" s="140"/>
      <c r="M325" s="140"/>
      <c r="N325" s="98"/>
      <c r="O325" s="98"/>
      <c r="P325" s="98"/>
      <c r="Q325" s="97"/>
      <c r="R325" s="97"/>
      <c r="S325" s="97"/>
      <c r="T325" s="97"/>
      <c r="U325" s="97"/>
      <c r="V325" s="97"/>
      <c r="W325" s="97"/>
      <c r="X325" s="142"/>
      <c r="Y325" s="142"/>
      <c r="Z325" s="142"/>
    </row>
    <row r="326">
      <c r="A326" s="97"/>
      <c r="B326" s="112" t="s">
        <v>30</v>
      </c>
      <c r="C326" s="112" t="s">
        <v>31</v>
      </c>
      <c r="D326" s="113" t="s">
        <v>280</v>
      </c>
      <c r="E326" s="114" t="s">
        <v>33</v>
      </c>
      <c r="F326" s="115" t="s">
        <v>281</v>
      </c>
      <c r="G326" s="11"/>
      <c r="H326" s="114" t="s">
        <v>35</v>
      </c>
      <c r="I326" s="113" t="s">
        <v>282</v>
      </c>
      <c r="J326" s="113" t="s">
        <v>283</v>
      </c>
      <c r="K326" s="113" t="s">
        <v>284</v>
      </c>
      <c r="L326" s="113" t="s">
        <v>285</v>
      </c>
      <c r="M326" s="114" t="s">
        <v>40</v>
      </c>
      <c r="N326" s="113" t="s">
        <v>25</v>
      </c>
      <c r="O326" s="116" t="s">
        <v>286</v>
      </c>
      <c r="P326" s="113" t="s">
        <v>287</v>
      </c>
      <c r="Q326" s="97"/>
      <c r="R326" s="97"/>
      <c r="S326" s="97"/>
      <c r="T326" s="97"/>
      <c r="U326" s="97"/>
      <c r="V326" s="97"/>
      <c r="W326" s="97"/>
      <c r="X326" s="142"/>
      <c r="Y326" s="142"/>
      <c r="Z326" s="142"/>
    </row>
    <row r="327">
      <c r="A327" s="104"/>
      <c r="B327" s="118">
        <f>B316+1</f>
        <v>30</v>
      </c>
      <c r="C327" s="119" t="s">
        <v>43</v>
      </c>
      <c r="D327" s="120" t="s">
        <v>44</v>
      </c>
      <c r="E327" s="121"/>
      <c r="F327" s="122" t="s">
        <v>45</v>
      </c>
      <c r="G327" s="11"/>
      <c r="H327" s="121"/>
      <c r="I327" s="123" t="s">
        <v>46</v>
      </c>
      <c r="J327" s="10"/>
      <c r="K327" s="10"/>
      <c r="L327" s="11"/>
      <c r="M327" s="121"/>
      <c r="N327" s="119"/>
      <c r="O327" s="119"/>
      <c r="P327" s="120"/>
      <c r="Q327" s="141"/>
      <c r="R327" s="141"/>
      <c r="S327" s="141"/>
      <c r="T327" s="141"/>
      <c r="U327" s="141"/>
      <c r="V327" s="141"/>
      <c r="W327" s="141"/>
      <c r="X327" s="142"/>
      <c r="Y327" s="142"/>
      <c r="Z327" s="142"/>
    </row>
    <row r="328">
      <c r="A328" s="104"/>
      <c r="B328" s="121"/>
      <c r="C328" s="126">
        <f>IF(ISBLANK($C$9),"",C323+1)</f>
        <v>45901</v>
      </c>
      <c r="D328" s="127"/>
      <c r="E328" s="121"/>
      <c r="F328" s="127" t="str">
        <f>IF(ISNUMBER(F323),F323+1,"")</f>
        <v/>
      </c>
      <c r="G328" s="128"/>
      <c r="H328" s="121"/>
      <c r="I328" s="127">
        <f t="shared" ref="I328:I334" si="113">J328*4+K328*4+L328*9</f>
        <v>0</v>
      </c>
      <c r="J328" s="127"/>
      <c r="K328" s="127"/>
      <c r="L328" s="127"/>
      <c r="M328" s="121"/>
      <c r="N328" s="128"/>
      <c r="O328" s="127"/>
      <c r="P328" s="127"/>
      <c r="Q328" s="97"/>
      <c r="R328" s="97"/>
      <c r="S328" s="97"/>
      <c r="T328" s="97"/>
      <c r="U328" s="97"/>
      <c r="V328" s="97"/>
      <c r="W328" s="97"/>
      <c r="X328" s="142"/>
      <c r="Y328" s="142"/>
      <c r="Z328" s="142"/>
    </row>
    <row r="329">
      <c r="A329" s="104"/>
      <c r="B329" s="121"/>
      <c r="C329" s="132">
        <f t="shared" ref="C329:C334" si="114">IF(ISBLANK($C$9),"",C328+1)</f>
        <v>45902</v>
      </c>
      <c r="D329" s="133"/>
      <c r="E329" s="121"/>
      <c r="F329" s="134" t="str">
        <f t="shared" ref="F329:F334" si="115">IF(ISNUMBER(F328),F328+1,"")</f>
        <v/>
      </c>
      <c r="G329" s="134"/>
      <c r="H329" s="121"/>
      <c r="I329" s="133">
        <f t="shared" si="113"/>
        <v>0</v>
      </c>
      <c r="J329" s="133"/>
      <c r="K329" s="133"/>
      <c r="L329" s="133"/>
      <c r="M329" s="121"/>
      <c r="N329" s="134"/>
      <c r="O329" s="133"/>
      <c r="P329" s="133"/>
      <c r="Q329" s="97"/>
      <c r="R329" s="97"/>
      <c r="S329" s="97"/>
      <c r="T329" s="97"/>
      <c r="U329" s="97"/>
      <c r="V329" s="97"/>
      <c r="W329" s="97"/>
      <c r="X329" s="142"/>
      <c r="Y329" s="142"/>
      <c r="Z329" s="142"/>
    </row>
    <row r="330">
      <c r="A330" s="104"/>
      <c r="B330" s="121"/>
      <c r="C330" s="132">
        <f t="shared" si="114"/>
        <v>45903</v>
      </c>
      <c r="D330" s="133"/>
      <c r="E330" s="121"/>
      <c r="F330" s="134" t="str">
        <f t="shared" si="115"/>
        <v/>
      </c>
      <c r="G330" s="134"/>
      <c r="H330" s="121"/>
      <c r="I330" s="133">
        <f t="shared" si="113"/>
        <v>0</v>
      </c>
      <c r="J330" s="133"/>
      <c r="K330" s="133"/>
      <c r="L330" s="133"/>
      <c r="M330" s="121"/>
      <c r="N330" s="134"/>
      <c r="O330" s="133"/>
      <c r="P330" s="133"/>
      <c r="Q330" s="97"/>
      <c r="R330" s="97"/>
      <c r="S330" s="97"/>
      <c r="T330" s="97"/>
      <c r="U330" s="97"/>
      <c r="V330" s="97"/>
      <c r="W330" s="97"/>
      <c r="X330" s="142"/>
      <c r="Y330" s="142"/>
      <c r="Z330" s="142"/>
    </row>
    <row r="331">
      <c r="A331" s="104"/>
      <c r="B331" s="121"/>
      <c r="C331" s="132">
        <f t="shared" si="114"/>
        <v>45904</v>
      </c>
      <c r="D331" s="133"/>
      <c r="E331" s="121"/>
      <c r="F331" s="134" t="str">
        <f t="shared" si="115"/>
        <v/>
      </c>
      <c r="G331" s="134"/>
      <c r="H331" s="121"/>
      <c r="I331" s="133">
        <f t="shared" si="113"/>
        <v>0</v>
      </c>
      <c r="J331" s="134"/>
      <c r="K331" s="134"/>
      <c r="L331" s="134"/>
      <c r="M331" s="121"/>
      <c r="N331" s="134"/>
      <c r="O331" s="133"/>
      <c r="P331" s="134"/>
      <c r="Q331" s="97"/>
      <c r="R331" s="97"/>
      <c r="S331" s="97"/>
      <c r="T331" s="97"/>
      <c r="U331" s="97"/>
      <c r="V331" s="97"/>
      <c r="W331" s="97"/>
      <c r="X331" s="142"/>
      <c r="Y331" s="142"/>
      <c r="Z331" s="142"/>
    </row>
    <row r="332">
      <c r="A332" s="104"/>
      <c r="B332" s="121"/>
      <c r="C332" s="132">
        <f t="shared" si="114"/>
        <v>45905</v>
      </c>
      <c r="D332" s="133"/>
      <c r="E332" s="121"/>
      <c r="F332" s="134" t="str">
        <f t="shared" si="115"/>
        <v/>
      </c>
      <c r="G332" s="134"/>
      <c r="H332" s="121"/>
      <c r="I332" s="133">
        <f t="shared" si="113"/>
        <v>0</v>
      </c>
      <c r="J332" s="134"/>
      <c r="K332" s="134"/>
      <c r="L332" s="134"/>
      <c r="M332" s="121"/>
      <c r="N332" s="134"/>
      <c r="O332" s="133"/>
      <c r="P332" s="133"/>
      <c r="Q332" s="97"/>
      <c r="R332" s="97"/>
      <c r="S332" s="97"/>
      <c r="T332" s="97"/>
      <c r="U332" s="97"/>
      <c r="V332" s="97"/>
      <c r="W332" s="97"/>
      <c r="X332" s="142"/>
      <c r="Y332" s="142"/>
      <c r="Z332" s="142"/>
    </row>
    <row r="333">
      <c r="A333" s="104"/>
      <c r="B333" s="121"/>
      <c r="C333" s="132">
        <f t="shared" si="114"/>
        <v>45906</v>
      </c>
      <c r="D333" s="133"/>
      <c r="E333" s="121"/>
      <c r="F333" s="134" t="str">
        <f t="shared" si="115"/>
        <v/>
      </c>
      <c r="G333" s="134"/>
      <c r="H333" s="121"/>
      <c r="I333" s="133">
        <f t="shared" si="113"/>
        <v>0</v>
      </c>
      <c r="J333" s="134"/>
      <c r="K333" s="134"/>
      <c r="L333" s="134"/>
      <c r="M333" s="121"/>
      <c r="N333" s="134"/>
      <c r="O333" s="133"/>
      <c r="P333" s="133"/>
      <c r="Q333" s="97"/>
      <c r="R333" s="97"/>
      <c r="S333" s="97"/>
      <c r="T333" s="97"/>
      <c r="U333" s="97"/>
      <c r="V333" s="97"/>
      <c r="W333" s="97"/>
      <c r="X333" s="142"/>
      <c r="Y333" s="142"/>
      <c r="Z333" s="142"/>
    </row>
    <row r="334">
      <c r="A334" s="104"/>
      <c r="B334" s="121"/>
      <c r="C334" s="135">
        <f t="shared" si="114"/>
        <v>45907</v>
      </c>
      <c r="D334" s="136"/>
      <c r="E334" s="121"/>
      <c r="F334" s="137" t="str">
        <f t="shared" si="115"/>
        <v/>
      </c>
      <c r="G334" s="137"/>
      <c r="H334" s="121"/>
      <c r="I334" s="136">
        <f t="shared" si="113"/>
        <v>0</v>
      </c>
      <c r="J334" s="137"/>
      <c r="K334" s="137"/>
      <c r="L334" s="137"/>
      <c r="M334" s="121"/>
      <c r="N334" s="137"/>
      <c r="O334" s="136"/>
      <c r="P334" s="137"/>
      <c r="Q334" s="97"/>
      <c r="R334" s="97"/>
      <c r="S334" s="97"/>
      <c r="T334" s="97"/>
      <c r="U334" s="97"/>
      <c r="V334" s="97"/>
      <c r="W334" s="97"/>
      <c r="X334" s="142"/>
      <c r="Y334" s="142"/>
      <c r="Z334" s="142"/>
    </row>
    <row r="335">
      <c r="A335" s="104"/>
      <c r="B335" s="138"/>
      <c r="C335" s="112" t="s">
        <v>51</v>
      </c>
      <c r="D335" s="116">
        <f>IFERROR(ROUND(AVERAGE(D328:D334),1),0)</f>
        <v>0</v>
      </c>
      <c r="E335" s="138"/>
      <c r="F335" s="115" t="s">
        <v>52</v>
      </c>
      <c r="G335" s="11"/>
      <c r="H335" s="138"/>
      <c r="I335" s="116">
        <f>IFERROR(ROUND(AVERAGEIF(I328:I334,"&lt;&gt;0"),0),0)</f>
        <v>0</v>
      </c>
      <c r="J335" s="116">
        <f t="shared" ref="J335:L335" si="116">IFERROR(ROUND(AVERAGE(J328:J334),0),0)</f>
        <v>0</v>
      </c>
      <c r="K335" s="116">
        <f t="shared" si="116"/>
        <v>0</v>
      </c>
      <c r="L335" s="116">
        <f t="shared" si="116"/>
        <v>0</v>
      </c>
      <c r="M335" s="138"/>
      <c r="N335" s="116">
        <f>IFERROR(ROUND(AVERAGE(N328:N334),0),0)</f>
        <v>0</v>
      </c>
      <c r="O335" s="116">
        <f>IFERROR(SUM(O328:O334),0)</f>
        <v>0</v>
      </c>
      <c r="P335" s="116">
        <f>IFERROR(COUNTA(P328:P334),0)</f>
        <v>0</v>
      </c>
      <c r="Q335" s="97"/>
      <c r="R335" s="97"/>
      <c r="S335" s="97"/>
      <c r="T335" s="97"/>
      <c r="U335" s="97"/>
      <c r="V335" s="97"/>
      <c r="W335" s="97"/>
      <c r="X335" s="142"/>
      <c r="Y335" s="142"/>
      <c r="Z335" s="142"/>
    </row>
    <row r="336">
      <c r="A336" s="97"/>
      <c r="B336" s="109"/>
      <c r="C336" s="97"/>
      <c r="D336" s="98"/>
      <c r="E336" s="140"/>
      <c r="F336" s="140"/>
      <c r="G336" s="140"/>
      <c r="H336" s="140"/>
      <c r="I336" s="140"/>
      <c r="J336" s="140"/>
      <c r="K336" s="140"/>
      <c r="L336" s="140"/>
      <c r="M336" s="140"/>
      <c r="N336" s="98"/>
      <c r="O336" s="98"/>
      <c r="P336" s="98"/>
      <c r="Q336" s="97"/>
      <c r="R336" s="97"/>
      <c r="S336" s="97"/>
      <c r="T336" s="97"/>
      <c r="U336" s="97"/>
      <c r="V336" s="97"/>
      <c r="W336" s="97"/>
      <c r="X336" s="142"/>
      <c r="Y336" s="142"/>
      <c r="Z336" s="142"/>
    </row>
    <row r="337">
      <c r="A337" s="97"/>
      <c r="B337" s="112" t="s">
        <v>30</v>
      </c>
      <c r="C337" s="112" t="s">
        <v>31</v>
      </c>
      <c r="D337" s="113" t="s">
        <v>288</v>
      </c>
      <c r="E337" s="114" t="s">
        <v>33</v>
      </c>
      <c r="F337" s="115" t="s">
        <v>289</v>
      </c>
      <c r="G337" s="11"/>
      <c r="H337" s="114" t="s">
        <v>35</v>
      </c>
      <c r="I337" s="113" t="s">
        <v>290</v>
      </c>
      <c r="J337" s="113" t="s">
        <v>291</v>
      </c>
      <c r="K337" s="113" t="s">
        <v>292</v>
      </c>
      <c r="L337" s="113" t="s">
        <v>293</v>
      </c>
      <c r="M337" s="114" t="s">
        <v>40</v>
      </c>
      <c r="N337" s="113" t="s">
        <v>25</v>
      </c>
      <c r="O337" s="116" t="s">
        <v>294</v>
      </c>
      <c r="P337" s="113" t="s">
        <v>295</v>
      </c>
      <c r="Q337" s="97"/>
      <c r="R337" s="97"/>
      <c r="S337" s="97"/>
      <c r="T337" s="97"/>
      <c r="U337" s="97"/>
      <c r="V337" s="97"/>
      <c r="W337" s="97"/>
      <c r="X337" s="142"/>
      <c r="Y337" s="142"/>
      <c r="Z337" s="142"/>
    </row>
    <row r="338">
      <c r="A338" s="104"/>
      <c r="B338" s="118">
        <f>B327+1</f>
        <v>31</v>
      </c>
      <c r="C338" s="119" t="s">
        <v>43</v>
      </c>
      <c r="D338" s="120" t="s">
        <v>44</v>
      </c>
      <c r="E338" s="121"/>
      <c r="F338" s="122" t="s">
        <v>45</v>
      </c>
      <c r="G338" s="11"/>
      <c r="H338" s="121"/>
      <c r="I338" s="123" t="s">
        <v>46</v>
      </c>
      <c r="J338" s="10"/>
      <c r="K338" s="10"/>
      <c r="L338" s="11"/>
      <c r="M338" s="121"/>
      <c r="N338" s="119"/>
      <c r="O338" s="119"/>
      <c r="P338" s="120"/>
      <c r="Q338" s="141"/>
      <c r="R338" s="141"/>
      <c r="S338" s="141"/>
      <c r="T338" s="141"/>
      <c r="U338" s="141"/>
      <c r="V338" s="141"/>
      <c r="W338" s="141"/>
      <c r="X338" s="142"/>
      <c r="Y338" s="142"/>
      <c r="Z338" s="142"/>
    </row>
    <row r="339">
      <c r="A339" s="104"/>
      <c r="B339" s="121"/>
      <c r="C339" s="126">
        <f>IF(ISBLANK($C$9),"",C334+1)</f>
        <v>45908</v>
      </c>
      <c r="D339" s="127"/>
      <c r="E339" s="121"/>
      <c r="F339" s="127" t="str">
        <f>IF(ISNUMBER(F334),F334+1,"")</f>
        <v/>
      </c>
      <c r="G339" s="128"/>
      <c r="H339" s="121"/>
      <c r="I339" s="127">
        <f t="shared" ref="I339:I345" si="117">J339*4+K339*4+L339*9</f>
        <v>0</v>
      </c>
      <c r="J339" s="127"/>
      <c r="K339" s="127"/>
      <c r="L339" s="127"/>
      <c r="M339" s="121"/>
      <c r="N339" s="128"/>
      <c r="O339" s="127"/>
      <c r="P339" s="127"/>
      <c r="Q339" s="97"/>
      <c r="R339" s="97"/>
      <c r="S339" s="97"/>
      <c r="T339" s="97"/>
      <c r="U339" s="97"/>
      <c r="V339" s="97"/>
      <c r="W339" s="97"/>
      <c r="X339" s="142"/>
      <c r="Y339" s="142"/>
      <c r="Z339" s="142"/>
    </row>
    <row r="340">
      <c r="A340" s="104"/>
      <c r="B340" s="121"/>
      <c r="C340" s="132">
        <f t="shared" ref="C340:C345" si="118">IF(ISBLANK($C$9),"",C339+1)</f>
        <v>45909</v>
      </c>
      <c r="D340" s="133"/>
      <c r="E340" s="121"/>
      <c r="F340" s="134" t="str">
        <f t="shared" ref="F340:F345" si="119">IF(ISNUMBER(F339),F339+1,"")</f>
        <v/>
      </c>
      <c r="G340" s="134"/>
      <c r="H340" s="121"/>
      <c r="I340" s="133">
        <f t="shared" si="117"/>
        <v>0</v>
      </c>
      <c r="J340" s="133"/>
      <c r="K340" s="133"/>
      <c r="L340" s="133"/>
      <c r="M340" s="121"/>
      <c r="N340" s="134"/>
      <c r="O340" s="133"/>
      <c r="P340" s="133"/>
      <c r="Q340" s="97"/>
      <c r="R340" s="97"/>
      <c r="S340" s="97"/>
      <c r="T340" s="97"/>
      <c r="U340" s="97"/>
      <c r="V340" s="97"/>
      <c r="W340" s="97"/>
      <c r="X340" s="142"/>
      <c r="Y340" s="142"/>
      <c r="Z340" s="142"/>
    </row>
    <row r="341">
      <c r="A341" s="104"/>
      <c r="B341" s="121"/>
      <c r="C341" s="132">
        <f t="shared" si="118"/>
        <v>45910</v>
      </c>
      <c r="D341" s="133"/>
      <c r="E341" s="121"/>
      <c r="F341" s="134" t="str">
        <f t="shared" si="119"/>
        <v/>
      </c>
      <c r="G341" s="134"/>
      <c r="H341" s="121"/>
      <c r="I341" s="133">
        <f t="shared" si="117"/>
        <v>0</v>
      </c>
      <c r="J341" s="133"/>
      <c r="K341" s="133"/>
      <c r="L341" s="133"/>
      <c r="M341" s="121"/>
      <c r="N341" s="134"/>
      <c r="O341" s="133"/>
      <c r="P341" s="133"/>
      <c r="Q341" s="97"/>
      <c r="R341" s="97"/>
      <c r="S341" s="97"/>
      <c r="T341" s="97"/>
      <c r="U341" s="97"/>
      <c r="V341" s="97"/>
      <c r="W341" s="97"/>
      <c r="X341" s="142"/>
      <c r="Y341" s="142"/>
      <c r="Z341" s="142"/>
    </row>
    <row r="342">
      <c r="A342" s="104"/>
      <c r="B342" s="121"/>
      <c r="C342" s="132">
        <f t="shared" si="118"/>
        <v>45911</v>
      </c>
      <c r="D342" s="133"/>
      <c r="E342" s="121"/>
      <c r="F342" s="134" t="str">
        <f t="shared" si="119"/>
        <v/>
      </c>
      <c r="G342" s="134"/>
      <c r="H342" s="121"/>
      <c r="I342" s="133">
        <f t="shared" si="117"/>
        <v>0</v>
      </c>
      <c r="J342" s="134"/>
      <c r="K342" s="134"/>
      <c r="L342" s="134"/>
      <c r="M342" s="121"/>
      <c r="N342" s="134"/>
      <c r="O342" s="133"/>
      <c r="P342" s="134"/>
      <c r="Q342" s="97"/>
      <c r="R342" s="97"/>
      <c r="S342" s="97"/>
      <c r="T342" s="97"/>
      <c r="U342" s="97"/>
      <c r="V342" s="97"/>
      <c r="W342" s="97"/>
      <c r="X342" s="142"/>
      <c r="Y342" s="142"/>
      <c r="Z342" s="142"/>
    </row>
    <row r="343">
      <c r="A343" s="104"/>
      <c r="B343" s="121"/>
      <c r="C343" s="132">
        <f t="shared" si="118"/>
        <v>45912</v>
      </c>
      <c r="D343" s="133"/>
      <c r="E343" s="121"/>
      <c r="F343" s="134" t="str">
        <f t="shared" si="119"/>
        <v/>
      </c>
      <c r="G343" s="134"/>
      <c r="H343" s="121"/>
      <c r="I343" s="133">
        <f t="shared" si="117"/>
        <v>0</v>
      </c>
      <c r="J343" s="134"/>
      <c r="K343" s="134"/>
      <c r="L343" s="134"/>
      <c r="M343" s="121"/>
      <c r="N343" s="134"/>
      <c r="O343" s="133"/>
      <c r="P343" s="133"/>
      <c r="Q343" s="97"/>
      <c r="R343" s="97"/>
      <c r="S343" s="97"/>
      <c r="T343" s="97"/>
      <c r="U343" s="97"/>
      <c r="V343" s="97"/>
      <c r="W343" s="97"/>
      <c r="X343" s="142"/>
      <c r="Y343" s="142"/>
      <c r="Z343" s="142"/>
    </row>
    <row r="344">
      <c r="A344" s="104"/>
      <c r="B344" s="121"/>
      <c r="C344" s="132">
        <f t="shared" si="118"/>
        <v>45913</v>
      </c>
      <c r="D344" s="133"/>
      <c r="E344" s="121"/>
      <c r="F344" s="134" t="str">
        <f t="shared" si="119"/>
        <v/>
      </c>
      <c r="G344" s="134"/>
      <c r="H344" s="121"/>
      <c r="I344" s="133">
        <f t="shared" si="117"/>
        <v>0</v>
      </c>
      <c r="J344" s="134"/>
      <c r="K344" s="134"/>
      <c r="L344" s="134"/>
      <c r="M344" s="121"/>
      <c r="N344" s="134"/>
      <c r="O344" s="133"/>
      <c r="P344" s="133"/>
      <c r="Q344" s="97"/>
      <c r="R344" s="97"/>
      <c r="S344" s="97"/>
      <c r="T344" s="97"/>
      <c r="U344" s="97"/>
      <c r="V344" s="97"/>
      <c r="W344" s="97"/>
      <c r="X344" s="142"/>
      <c r="Y344" s="142"/>
      <c r="Z344" s="142"/>
    </row>
    <row r="345">
      <c r="A345" s="104"/>
      <c r="B345" s="121"/>
      <c r="C345" s="135">
        <f t="shared" si="118"/>
        <v>45914</v>
      </c>
      <c r="D345" s="136"/>
      <c r="E345" s="121"/>
      <c r="F345" s="137" t="str">
        <f t="shared" si="119"/>
        <v/>
      </c>
      <c r="G345" s="137"/>
      <c r="H345" s="121"/>
      <c r="I345" s="136">
        <f t="shared" si="117"/>
        <v>0</v>
      </c>
      <c r="J345" s="137"/>
      <c r="K345" s="137"/>
      <c r="L345" s="137"/>
      <c r="M345" s="121"/>
      <c r="N345" s="137"/>
      <c r="O345" s="136"/>
      <c r="P345" s="137"/>
      <c r="Q345" s="97"/>
      <c r="R345" s="97"/>
      <c r="S345" s="97"/>
      <c r="T345" s="97"/>
      <c r="U345" s="97"/>
      <c r="V345" s="97"/>
      <c r="W345" s="97"/>
      <c r="X345" s="142"/>
      <c r="Y345" s="142"/>
      <c r="Z345" s="142"/>
    </row>
    <row r="346">
      <c r="A346" s="104"/>
      <c r="B346" s="138"/>
      <c r="C346" s="112" t="s">
        <v>51</v>
      </c>
      <c r="D346" s="116">
        <f>IFERROR(ROUND(AVERAGE(D339:D345),1),0)</f>
        <v>0</v>
      </c>
      <c r="E346" s="138"/>
      <c r="F346" s="115" t="s">
        <v>52</v>
      </c>
      <c r="G346" s="11"/>
      <c r="H346" s="138"/>
      <c r="I346" s="116">
        <f>IFERROR(ROUND(AVERAGEIF(I339:I345,"&lt;&gt;0"),0),0)</f>
        <v>0</v>
      </c>
      <c r="J346" s="116">
        <f t="shared" ref="J346:L346" si="120">IFERROR(ROUND(AVERAGE(J339:J345),0),0)</f>
        <v>0</v>
      </c>
      <c r="K346" s="116">
        <f t="shared" si="120"/>
        <v>0</v>
      </c>
      <c r="L346" s="116">
        <f t="shared" si="120"/>
        <v>0</v>
      </c>
      <c r="M346" s="138"/>
      <c r="N346" s="116">
        <f>IFERROR(ROUND(AVERAGE(N339:N345),0),0)</f>
        <v>0</v>
      </c>
      <c r="O346" s="116">
        <f>IFERROR(SUM(O339:O345),0)</f>
        <v>0</v>
      </c>
      <c r="P346" s="116">
        <f>IFERROR(COUNTA(P339:P345),0)</f>
        <v>0</v>
      </c>
      <c r="Q346" s="97"/>
      <c r="R346" s="97"/>
      <c r="S346" s="97"/>
      <c r="T346" s="97"/>
      <c r="U346" s="97"/>
      <c r="V346" s="97"/>
      <c r="W346" s="97"/>
      <c r="X346" s="142"/>
      <c r="Y346" s="142"/>
      <c r="Z346" s="142"/>
    </row>
    <row r="347">
      <c r="A347" s="97"/>
      <c r="B347" s="109"/>
      <c r="C347" s="97"/>
      <c r="D347" s="98"/>
      <c r="E347" s="140"/>
      <c r="F347" s="140"/>
      <c r="G347" s="140"/>
      <c r="H347" s="140"/>
      <c r="I347" s="140"/>
      <c r="J347" s="140"/>
      <c r="K347" s="140"/>
      <c r="L347" s="140"/>
      <c r="M347" s="140"/>
      <c r="N347" s="98"/>
      <c r="O347" s="98"/>
      <c r="P347" s="98"/>
      <c r="Q347" s="97"/>
      <c r="R347" s="97"/>
      <c r="S347" s="97"/>
      <c r="T347" s="97"/>
      <c r="U347" s="97"/>
      <c r="V347" s="97"/>
      <c r="W347" s="97"/>
      <c r="X347" s="142"/>
      <c r="Y347" s="142"/>
      <c r="Z347" s="142"/>
    </row>
    <row r="348">
      <c r="A348" s="97"/>
      <c r="B348" s="112" t="s">
        <v>30</v>
      </c>
      <c r="C348" s="112" t="s">
        <v>31</v>
      </c>
      <c r="D348" s="113" t="s">
        <v>296</v>
      </c>
      <c r="E348" s="114" t="s">
        <v>33</v>
      </c>
      <c r="F348" s="115" t="s">
        <v>297</v>
      </c>
      <c r="G348" s="11"/>
      <c r="H348" s="114" t="s">
        <v>35</v>
      </c>
      <c r="I348" s="113" t="s">
        <v>298</v>
      </c>
      <c r="J348" s="113" t="s">
        <v>299</v>
      </c>
      <c r="K348" s="113" t="s">
        <v>300</v>
      </c>
      <c r="L348" s="113" t="s">
        <v>301</v>
      </c>
      <c r="M348" s="114" t="s">
        <v>40</v>
      </c>
      <c r="N348" s="113" t="s">
        <v>25</v>
      </c>
      <c r="O348" s="116" t="s">
        <v>302</v>
      </c>
      <c r="P348" s="113" t="s">
        <v>303</v>
      </c>
      <c r="Q348" s="97"/>
      <c r="R348" s="97"/>
      <c r="S348" s="97"/>
      <c r="T348" s="97"/>
      <c r="U348" s="97"/>
      <c r="V348" s="97"/>
      <c r="W348" s="97"/>
      <c r="X348" s="142"/>
      <c r="Y348" s="142"/>
      <c r="Z348" s="142"/>
    </row>
    <row r="349">
      <c r="A349" s="104"/>
      <c r="B349" s="118">
        <f>B338+1</f>
        <v>32</v>
      </c>
      <c r="C349" s="119" t="s">
        <v>43</v>
      </c>
      <c r="D349" s="120" t="s">
        <v>44</v>
      </c>
      <c r="E349" s="121"/>
      <c r="F349" s="122" t="s">
        <v>45</v>
      </c>
      <c r="G349" s="11"/>
      <c r="H349" s="121"/>
      <c r="I349" s="123" t="s">
        <v>46</v>
      </c>
      <c r="J349" s="10"/>
      <c r="K349" s="10"/>
      <c r="L349" s="11"/>
      <c r="M349" s="121"/>
      <c r="N349" s="119"/>
      <c r="O349" s="119"/>
      <c r="P349" s="120"/>
      <c r="Q349" s="141"/>
      <c r="R349" s="141"/>
      <c r="S349" s="141"/>
      <c r="T349" s="141"/>
      <c r="U349" s="141"/>
      <c r="V349" s="141"/>
      <c r="W349" s="141"/>
      <c r="X349" s="142"/>
      <c r="Y349" s="142"/>
      <c r="Z349" s="142"/>
    </row>
    <row r="350">
      <c r="A350" s="104"/>
      <c r="B350" s="121"/>
      <c r="C350" s="126">
        <f>IF(ISBLANK($C$9),"",C345+1)</f>
        <v>45915</v>
      </c>
      <c r="D350" s="127"/>
      <c r="E350" s="121"/>
      <c r="F350" s="127" t="str">
        <f>IF(ISNUMBER(F345),F345+1,"")</f>
        <v/>
      </c>
      <c r="G350" s="128"/>
      <c r="H350" s="121"/>
      <c r="I350" s="127">
        <f t="shared" ref="I350:I356" si="121">J350*4+K350*4+L350*9</f>
        <v>0</v>
      </c>
      <c r="J350" s="127"/>
      <c r="K350" s="127"/>
      <c r="L350" s="127"/>
      <c r="M350" s="121"/>
      <c r="N350" s="128"/>
      <c r="O350" s="127"/>
      <c r="P350" s="127"/>
      <c r="Q350" s="97"/>
      <c r="R350" s="97"/>
      <c r="S350" s="97"/>
      <c r="T350" s="97"/>
      <c r="U350" s="97"/>
      <c r="V350" s="97"/>
      <c r="W350" s="97"/>
      <c r="X350" s="142"/>
      <c r="Y350" s="142"/>
      <c r="Z350" s="142"/>
    </row>
    <row r="351">
      <c r="A351" s="104"/>
      <c r="B351" s="121"/>
      <c r="C351" s="132">
        <f t="shared" ref="C351:C356" si="122">IF(ISBLANK($C$9),"",C350+1)</f>
        <v>45916</v>
      </c>
      <c r="D351" s="133"/>
      <c r="E351" s="121"/>
      <c r="F351" s="134" t="str">
        <f t="shared" ref="F351:F356" si="123">IF(ISNUMBER(F350),F350+1,"")</f>
        <v/>
      </c>
      <c r="G351" s="134"/>
      <c r="H351" s="121"/>
      <c r="I351" s="133">
        <f t="shared" si="121"/>
        <v>0</v>
      </c>
      <c r="J351" s="133"/>
      <c r="K351" s="133"/>
      <c r="L351" s="133"/>
      <c r="M351" s="121"/>
      <c r="N351" s="134"/>
      <c r="O351" s="133"/>
      <c r="P351" s="133"/>
      <c r="Q351" s="97"/>
      <c r="R351" s="97"/>
      <c r="S351" s="97"/>
      <c r="T351" s="97"/>
      <c r="U351" s="97"/>
      <c r="V351" s="97"/>
      <c r="W351" s="97"/>
      <c r="X351" s="142"/>
      <c r="Y351" s="142"/>
      <c r="Z351" s="142"/>
    </row>
    <row r="352">
      <c r="A352" s="104"/>
      <c r="B352" s="121"/>
      <c r="C352" s="132">
        <f t="shared" si="122"/>
        <v>45917</v>
      </c>
      <c r="D352" s="133"/>
      <c r="E352" s="121"/>
      <c r="F352" s="134" t="str">
        <f t="shared" si="123"/>
        <v/>
      </c>
      <c r="G352" s="134"/>
      <c r="H352" s="121"/>
      <c r="I352" s="133">
        <f t="shared" si="121"/>
        <v>0</v>
      </c>
      <c r="J352" s="133"/>
      <c r="K352" s="133"/>
      <c r="L352" s="133"/>
      <c r="M352" s="121"/>
      <c r="N352" s="134"/>
      <c r="O352" s="133"/>
      <c r="P352" s="133"/>
      <c r="Q352" s="97"/>
      <c r="R352" s="97"/>
      <c r="S352" s="97"/>
      <c r="T352" s="97"/>
      <c r="U352" s="97"/>
      <c r="V352" s="97"/>
      <c r="W352" s="97"/>
      <c r="X352" s="142"/>
      <c r="Y352" s="142"/>
      <c r="Z352" s="142"/>
    </row>
    <row r="353">
      <c r="A353" s="104"/>
      <c r="B353" s="121"/>
      <c r="C353" s="132">
        <f t="shared" si="122"/>
        <v>45918</v>
      </c>
      <c r="D353" s="133"/>
      <c r="E353" s="121"/>
      <c r="F353" s="134" t="str">
        <f t="shared" si="123"/>
        <v/>
      </c>
      <c r="G353" s="134"/>
      <c r="H353" s="121"/>
      <c r="I353" s="133">
        <f t="shared" si="121"/>
        <v>0</v>
      </c>
      <c r="J353" s="134"/>
      <c r="K353" s="134"/>
      <c r="L353" s="134"/>
      <c r="M353" s="121"/>
      <c r="N353" s="134"/>
      <c r="O353" s="133"/>
      <c r="P353" s="134"/>
      <c r="Q353" s="97"/>
      <c r="R353" s="97"/>
      <c r="S353" s="97"/>
      <c r="T353" s="97"/>
      <c r="U353" s="97"/>
      <c r="V353" s="97"/>
      <c r="W353" s="97"/>
      <c r="X353" s="142"/>
      <c r="Y353" s="142"/>
      <c r="Z353" s="142"/>
    </row>
    <row r="354">
      <c r="A354" s="104"/>
      <c r="B354" s="121"/>
      <c r="C354" s="132">
        <f t="shared" si="122"/>
        <v>45919</v>
      </c>
      <c r="D354" s="133"/>
      <c r="E354" s="121"/>
      <c r="F354" s="134" t="str">
        <f t="shared" si="123"/>
        <v/>
      </c>
      <c r="G354" s="134"/>
      <c r="H354" s="121"/>
      <c r="I354" s="133">
        <f t="shared" si="121"/>
        <v>0</v>
      </c>
      <c r="J354" s="134"/>
      <c r="K354" s="134"/>
      <c r="L354" s="134"/>
      <c r="M354" s="121"/>
      <c r="N354" s="134"/>
      <c r="O354" s="133"/>
      <c r="P354" s="133"/>
      <c r="Q354" s="97"/>
      <c r="R354" s="97"/>
      <c r="S354" s="97"/>
      <c r="T354" s="97"/>
      <c r="U354" s="97"/>
      <c r="V354" s="97"/>
      <c r="W354" s="97"/>
      <c r="X354" s="142"/>
      <c r="Y354" s="142"/>
      <c r="Z354" s="142"/>
    </row>
    <row r="355">
      <c r="A355" s="104"/>
      <c r="B355" s="121"/>
      <c r="C355" s="132">
        <f t="shared" si="122"/>
        <v>45920</v>
      </c>
      <c r="D355" s="133"/>
      <c r="E355" s="121"/>
      <c r="F355" s="134" t="str">
        <f t="shared" si="123"/>
        <v/>
      </c>
      <c r="G355" s="134"/>
      <c r="H355" s="121"/>
      <c r="I355" s="133">
        <f t="shared" si="121"/>
        <v>0</v>
      </c>
      <c r="J355" s="134"/>
      <c r="K355" s="134"/>
      <c r="L355" s="134"/>
      <c r="M355" s="121"/>
      <c r="N355" s="134"/>
      <c r="O355" s="133"/>
      <c r="P355" s="133"/>
      <c r="Q355" s="97"/>
      <c r="R355" s="97"/>
      <c r="S355" s="97"/>
      <c r="T355" s="97"/>
      <c r="U355" s="97"/>
      <c r="V355" s="97"/>
      <c r="W355" s="97"/>
      <c r="X355" s="142"/>
      <c r="Y355" s="142"/>
      <c r="Z355" s="142"/>
    </row>
    <row r="356">
      <c r="A356" s="104"/>
      <c r="B356" s="121"/>
      <c r="C356" s="135">
        <f t="shared" si="122"/>
        <v>45921</v>
      </c>
      <c r="D356" s="136"/>
      <c r="E356" s="121"/>
      <c r="F356" s="137" t="str">
        <f t="shared" si="123"/>
        <v/>
      </c>
      <c r="G356" s="137"/>
      <c r="H356" s="121"/>
      <c r="I356" s="136">
        <f t="shared" si="121"/>
        <v>0</v>
      </c>
      <c r="J356" s="137"/>
      <c r="K356" s="137"/>
      <c r="L356" s="137"/>
      <c r="M356" s="121"/>
      <c r="N356" s="137"/>
      <c r="O356" s="136"/>
      <c r="P356" s="137"/>
      <c r="Q356" s="97"/>
      <c r="R356" s="97"/>
      <c r="S356" s="97"/>
      <c r="T356" s="97"/>
      <c r="U356" s="97"/>
      <c r="V356" s="97"/>
      <c r="W356" s="97"/>
      <c r="X356" s="142"/>
      <c r="Y356" s="142"/>
      <c r="Z356" s="142"/>
    </row>
    <row r="357">
      <c r="A357" s="104"/>
      <c r="B357" s="138"/>
      <c r="C357" s="112" t="s">
        <v>51</v>
      </c>
      <c r="D357" s="116">
        <f>IFERROR(ROUND(AVERAGE(D350:D356),1),0)</f>
        <v>0</v>
      </c>
      <c r="E357" s="138"/>
      <c r="F357" s="115" t="s">
        <v>52</v>
      </c>
      <c r="G357" s="11"/>
      <c r="H357" s="138"/>
      <c r="I357" s="116">
        <f>IFERROR(ROUND(AVERAGEIF(I350:I356,"&lt;&gt;0"),0),0)</f>
        <v>0</v>
      </c>
      <c r="J357" s="116">
        <f t="shared" ref="J357:L357" si="124">IFERROR(ROUND(AVERAGE(J350:J356),0),0)</f>
        <v>0</v>
      </c>
      <c r="K357" s="116">
        <f t="shared" si="124"/>
        <v>0</v>
      </c>
      <c r="L357" s="116">
        <f t="shared" si="124"/>
        <v>0</v>
      </c>
      <c r="M357" s="138"/>
      <c r="N357" s="116">
        <f>IFERROR(ROUND(AVERAGE(N350:N356),0),0)</f>
        <v>0</v>
      </c>
      <c r="O357" s="116">
        <f>IFERROR(SUM(O350:O356),0)</f>
        <v>0</v>
      </c>
      <c r="P357" s="116">
        <f>IFERROR(COUNTA(P350:P356),0)</f>
        <v>0</v>
      </c>
      <c r="Q357" s="97"/>
      <c r="R357" s="97"/>
      <c r="S357" s="97"/>
      <c r="T357" s="97"/>
      <c r="U357" s="97"/>
      <c r="V357" s="97"/>
      <c r="W357" s="97"/>
      <c r="X357" s="142"/>
      <c r="Y357" s="142"/>
      <c r="Z357" s="142"/>
    </row>
    <row r="358">
      <c r="A358" s="97"/>
      <c r="B358" s="109"/>
      <c r="C358" s="97"/>
      <c r="D358" s="98"/>
      <c r="E358" s="140"/>
      <c r="F358" s="140"/>
      <c r="G358" s="140"/>
      <c r="H358" s="140"/>
      <c r="I358" s="140"/>
      <c r="J358" s="140"/>
      <c r="K358" s="140"/>
      <c r="L358" s="140"/>
      <c r="M358" s="140"/>
      <c r="N358" s="98"/>
      <c r="O358" s="98"/>
      <c r="P358" s="98"/>
      <c r="Q358" s="97"/>
      <c r="R358" s="97"/>
      <c r="S358" s="97"/>
      <c r="T358" s="97"/>
      <c r="U358" s="97"/>
      <c r="V358" s="97"/>
      <c r="W358" s="97"/>
      <c r="X358" s="142"/>
      <c r="Y358" s="142"/>
      <c r="Z358" s="142"/>
    </row>
    <row r="359">
      <c r="A359" s="97"/>
      <c r="B359" s="112" t="s">
        <v>30</v>
      </c>
      <c r="C359" s="112" t="s">
        <v>31</v>
      </c>
      <c r="D359" s="113" t="s">
        <v>304</v>
      </c>
      <c r="E359" s="114" t="s">
        <v>33</v>
      </c>
      <c r="F359" s="115" t="s">
        <v>305</v>
      </c>
      <c r="G359" s="11"/>
      <c r="H359" s="114" t="s">
        <v>35</v>
      </c>
      <c r="I359" s="113" t="s">
        <v>306</v>
      </c>
      <c r="J359" s="113" t="s">
        <v>307</v>
      </c>
      <c r="K359" s="113" t="s">
        <v>308</v>
      </c>
      <c r="L359" s="113" t="s">
        <v>309</v>
      </c>
      <c r="M359" s="114" t="s">
        <v>40</v>
      </c>
      <c r="N359" s="113" t="s">
        <v>25</v>
      </c>
      <c r="O359" s="116" t="s">
        <v>310</v>
      </c>
      <c r="P359" s="113" t="s">
        <v>311</v>
      </c>
      <c r="Q359" s="97"/>
      <c r="R359" s="97"/>
      <c r="S359" s="97"/>
      <c r="T359" s="97"/>
      <c r="U359" s="97"/>
      <c r="V359" s="97"/>
      <c r="W359" s="97"/>
      <c r="X359" s="142"/>
      <c r="Y359" s="142"/>
      <c r="Z359" s="142"/>
    </row>
    <row r="360">
      <c r="A360" s="104"/>
      <c r="B360" s="118">
        <f>B349+1</f>
        <v>33</v>
      </c>
      <c r="C360" s="119" t="s">
        <v>43</v>
      </c>
      <c r="D360" s="120" t="s">
        <v>44</v>
      </c>
      <c r="E360" s="121"/>
      <c r="F360" s="122" t="s">
        <v>45</v>
      </c>
      <c r="G360" s="11"/>
      <c r="H360" s="121"/>
      <c r="I360" s="123" t="s">
        <v>46</v>
      </c>
      <c r="J360" s="10"/>
      <c r="K360" s="10"/>
      <c r="L360" s="11"/>
      <c r="M360" s="121"/>
      <c r="N360" s="119"/>
      <c r="O360" s="119"/>
      <c r="P360" s="120"/>
      <c r="Q360" s="141"/>
      <c r="R360" s="141"/>
      <c r="S360" s="141"/>
      <c r="T360" s="141"/>
      <c r="U360" s="141"/>
      <c r="V360" s="141"/>
      <c r="W360" s="141"/>
      <c r="X360" s="142"/>
      <c r="Y360" s="142"/>
      <c r="Z360" s="142"/>
    </row>
    <row r="361">
      <c r="A361" s="104"/>
      <c r="B361" s="121"/>
      <c r="C361" s="126">
        <f>IF(ISBLANK($C$9),"",C356+1)</f>
        <v>45922</v>
      </c>
      <c r="D361" s="127"/>
      <c r="E361" s="121"/>
      <c r="F361" s="127" t="str">
        <f>IF(ISNUMBER(F356),F356+1,"")</f>
        <v/>
      </c>
      <c r="G361" s="128"/>
      <c r="H361" s="121"/>
      <c r="I361" s="127">
        <f t="shared" ref="I361:I367" si="125">J361*4+K361*4+L361*9</f>
        <v>0</v>
      </c>
      <c r="J361" s="127"/>
      <c r="K361" s="127"/>
      <c r="L361" s="127"/>
      <c r="M361" s="121"/>
      <c r="N361" s="128"/>
      <c r="O361" s="127"/>
      <c r="P361" s="127"/>
      <c r="Q361" s="97"/>
      <c r="R361" s="97"/>
      <c r="S361" s="97"/>
      <c r="T361" s="97"/>
      <c r="U361" s="97"/>
      <c r="V361" s="97"/>
      <c r="W361" s="97"/>
      <c r="X361" s="142"/>
      <c r="Y361" s="142"/>
      <c r="Z361" s="142"/>
    </row>
    <row r="362">
      <c r="A362" s="104"/>
      <c r="B362" s="121"/>
      <c r="C362" s="132">
        <f t="shared" ref="C362:C367" si="126">IF(ISBLANK($C$9),"",C361+1)</f>
        <v>45923</v>
      </c>
      <c r="D362" s="133"/>
      <c r="E362" s="121"/>
      <c r="F362" s="134" t="str">
        <f t="shared" ref="F362:F367" si="127">IF(ISNUMBER(F361),F361+1,"")</f>
        <v/>
      </c>
      <c r="G362" s="134"/>
      <c r="H362" s="121"/>
      <c r="I362" s="133">
        <f t="shared" si="125"/>
        <v>0</v>
      </c>
      <c r="J362" s="133"/>
      <c r="K362" s="133"/>
      <c r="L362" s="133"/>
      <c r="M362" s="121"/>
      <c r="N362" s="134"/>
      <c r="O362" s="133"/>
      <c r="P362" s="133"/>
      <c r="Q362" s="97"/>
      <c r="R362" s="97"/>
      <c r="S362" s="97"/>
      <c r="T362" s="97"/>
      <c r="U362" s="97"/>
      <c r="V362" s="97"/>
      <c r="W362" s="97"/>
      <c r="X362" s="142"/>
      <c r="Y362" s="142"/>
      <c r="Z362" s="142"/>
    </row>
    <row r="363">
      <c r="A363" s="104"/>
      <c r="B363" s="121"/>
      <c r="C363" s="132">
        <f t="shared" si="126"/>
        <v>45924</v>
      </c>
      <c r="D363" s="133"/>
      <c r="E363" s="121"/>
      <c r="F363" s="134" t="str">
        <f t="shared" si="127"/>
        <v/>
      </c>
      <c r="G363" s="134"/>
      <c r="H363" s="121"/>
      <c r="I363" s="133">
        <f t="shared" si="125"/>
        <v>0</v>
      </c>
      <c r="J363" s="133"/>
      <c r="K363" s="133"/>
      <c r="L363" s="133"/>
      <c r="M363" s="121"/>
      <c r="N363" s="134"/>
      <c r="O363" s="133"/>
      <c r="P363" s="133"/>
      <c r="Q363" s="97"/>
      <c r="R363" s="97"/>
      <c r="S363" s="97"/>
      <c r="T363" s="97"/>
      <c r="U363" s="97"/>
      <c r="V363" s="97"/>
      <c r="W363" s="97"/>
      <c r="X363" s="142"/>
      <c r="Y363" s="142"/>
      <c r="Z363" s="142"/>
    </row>
    <row r="364">
      <c r="A364" s="104"/>
      <c r="B364" s="121"/>
      <c r="C364" s="132">
        <f t="shared" si="126"/>
        <v>45925</v>
      </c>
      <c r="D364" s="133"/>
      <c r="E364" s="121"/>
      <c r="F364" s="134" t="str">
        <f t="shared" si="127"/>
        <v/>
      </c>
      <c r="G364" s="134"/>
      <c r="H364" s="121"/>
      <c r="I364" s="133">
        <f t="shared" si="125"/>
        <v>0</v>
      </c>
      <c r="J364" s="134"/>
      <c r="K364" s="134"/>
      <c r="L364" s="134"/>
      <c r="M364" s="121"/>
      <c r="N364" s="134"/>
      <c r="O364" s="133"/>
      <c r="P364" s="134"/>
      <c r="Q364" s="97"/>
      <c r="R364" s="97"/>
      <c r="S364" s="97"/>
      <c r="T364" s="97"/>
      <c r="U364" s="97"/>
      <c r="V364" s="97"/>
      <c r="W364" s="97"/>
      <c r="X364" s="142"/>
      <c r="Y364" s="142"/>
      <c r="Z364" s="142"/>
    </row>
    <row r="365">
      <c r="A365" s="104"/>
      <c r="B365" s="121"/>
      <c r="C365" s="132">
        <f t="shared" si="126"/>
        <v>45926</v>
      </c>
      <c r="D365" s="133"/>
      <c r="E365" s="121"/>
      <c r="F365" s="134" t="str">
        <f t="shared" si="127"/>
        <v/>
      </c>
      <c r="G365" s="134"/>
      <c r="H365" s="121"/>
      <c r="I365" s="133">
        <f t="shared" si="125"/>
        <v>0</v>
      </c>
      <c r="J365" s="134"/>
      <c r="K365" s="134"/>
      <c r="L365" s="134"/>
      <c r="M365" s="121"/>
      <c r="N365" s="134"/>
      <c r="O365" s="133"/>
      <c r="P365" s="133"/>
      <c r="Q365" s="97"/>
      <c r="R365" s="97"/>
      <c r="S365" s="97"/>
      <c r="T365" s="97"/>
      <c r="U365" s="97"/>
      <c r="V365" s="97"/>
      <c r="W365" s="97"/>
      <c r="X365" s="142"/>
      <c r="Y365" s="142"/>
      <c r="Z365" s="142"/>
    </row>
    <row r="366">
      <c r="A366" s="104"/>
      <c r="B366" s="121"/>
      <c r="C366" s="132">
        <f t="shared" si="126"/>
        <v>45927</v>
      </c>
      <c r="D366" s="133"/>
      <c r="E366" s="121"/>
      <c r="F366" s="134" t="str">
        <f t="shared" si="127"/>
        <v/>
      </c>
      <c r="G366" s="134"/>
      <c r="H366" s="121"/>
      <c r="I366" s="133">
        <f t="shared" si="125"/>
        <v>0</v>
      </c>
      <c r="J366" s="134"/>
      <c r="K366" s="134"/>
      <c r="L366" s="134"/>
      <c r="M366" s="121"/>
      <c r="N366" s="134"/>
      <c r="O366" s="133"/>
      <c r="P366" s="133"/>
      <c r="Q366" s="97"/>
      <c r="R366" s="97"/>
      <c r="S366" s="97"/>
      <c r="T366" s="97"/>
      <c r="U366" s="97"/>
      <c r="V366" s="97"/>
      <c r="W366" s="97"/>
      <c r="X366" s="142"/>
      <c r="Y366" s="142"/>
      <c r="Z366" s="142"/>
    </row>
    <row r="367">
      <c r="A367" s="104"/>
      <c r="B367" s="121"/>
      <c r="C367" s="135">
        <f t="shared" si="126"/>
        <v>45928</v>
      </c>
      <c r="D367" s="136"/>
      <c r="E367" s="121"/>
      <c r="F367" s="137" t="str">
        <f t="shared" si="127"/>
        <v/>
      </c>
      <c r="G367" s="137"/>
      <c r="H367" s="121"/>
      <c r="I367" s="136">
        <f t="shared" si="125"/>
        <v>0</v>
      </c>
      <c r="J367" s="137"/>
      <c r="K367" s="137"/>
      <c r="L367" s="137"/>
      <c r="M367" s="121"/>
      <c r="N367" s="137"/>
      <c r="O367" s="136"/>
      <c r="P367" s="137"/>
      <c r="Q367" s="97"/>
      <c r="R367" s="97"/>
      <c r="S367" s="97"/>
      <c r="T367" s="97"/>
      <c r="U367" s="97"/>
      <c r="V367" s="97"/>
      <c r="W367" s="97"/>
      <c r="X367" s="142"/>
      <c r="Y367" s="142"/>
      <c r="Z367" s="142"/>
    </row>
    <row r="368">
      <c r="A368" s="104"/>
      <c r="B368" s="138"/>
      <c r="C368" s="112" t="s">
        <v>51</v>
      </c>
      <c r="D368" s="116">
        <f>IFERROR(ROUND(AVERAGE(D361:D367),1),0)</f>
        <v>0</v>
      </c>
      <c r="E368" s="138"/>
      <c r="F368" s="115" t="s">
        <v>52</v>
      </c>
      <c r="G368" s="11"/>
      <c r="H368" s="138"/>
      <c r="I368" s="116">
        <f>IFERROR(ROUND(AVERAGEIF(I361:I367,"&lt;&gt;0"),0),0)</f>
        <v>0</v>
      </c>
      <c r="J368" s="116">
        <f t="shared" ref="J368:L368" si="128">IFERROR(ROUND(AVERAGE(J361:J367),0),0)</f>
        <v>0</v>
      </c>
      <c r="K368" s="116">
        <f t="shared" si="128"/>
        <v>0</v>
      </c>
      <c r="L368" s="116">
        <f t="shared" si="128"/>
        <v>0</v>
      </c>
      <c r="M368" s="138"/>
      <c r="N368" s="116">
        <f>IFERROR(ROUND(AVERAGE(N361:N367),0),0)</f>
        <v>0</v>
      </c>
      <c r="O368" s="116">
        <f>IFERROR(SUM(O361:O367),0)</f>
        <v>0</v>
      </c>
      <c r="P368" s="116">
        <f>IFERROR(COUNTA(P361:P367),0)</f>
        <v>0</v>
      </c>
      <c r="Q368" s="97"/>
      <c r="R368" s="97"/>
      <c r="S368" s="97"/>
      <c r="T368" s="97"/>
      <c r="U368" s="97"/>
      <c r="V368" s="97"/>
      <c r="W368" s="97"/>
      <c r="X368" s="142"/>
      <c r="Y368" s="142"/>
      <c r="Z368" s="142"/>
    </row>
    <row r="369">
      <c r="A369" s="97"/>
      <c r="B369" s="109"/>
      <c r="C369" s="97"/>
      <c r="D369" s="98"/>
      <c r="E369" s="140"/>
      <c r="F369" s="140"/>
      <c r="G369" s="140"/>
      <c r="H369" s="140"/>
      <c r="I369" s="140"/>
      <c r="J369" s="140"/>
      <c r="K369" s="140"/>
      <c r="L369" s="140"/>
      <c r="M369" s="140"/>
      <c r="N369" s="98"/>
      <c r="O369" s="98"/>
      <c r="P369" s="98"/>
      <c r="Q369" s="97"/>
      <c r="R369" s="97"/>
      <c r="S369" s="97"/>
      <c r="T369" s="97"/>
      <c r="U369" s="97"/>
      <c r="V369" s="97"/>
      <c r="W369" s="97"/>
      <c r="X369" s="142"/>
      <c r="Y369" s="142"/>
      <c r="Z369" s="142"/>
    </row>
    <row r="370">
      <c r="A370" s="97"/>
      <c r="B370" s="112" t="s">
        <v>30</v>
      </c>
      <c r="C370" s="112" t="s">
        <v>31</v>
      </c>
      <c r="D370" s="113" t="s">
        <v>312</v>
      </c>
      <c r="E370" s="114" t="s">
        <v>33</v>
      </c>
      <c r="F370" s="115" t="s">
        <v>313</v>
      </c>
      <c r="G370" s="11"/>
      <c r="H370" s="114" t="s">
        <v>35</v>
      </c>
      <c r="I370" s="113" t="s">
        <v>314</v>
      </c>
      <c r="J370" s="113" t="s">
        <v>315</v>
      </c>
      <c r="K370" s="113" t="s">
        <v>316</v>
      </c>
      <c r="L370" s="113" t="s">
        <v>317</v>
      </c>
      <c r="M370" s="114" t="s">
        <v>40</v>
      </c>
      <c r="N370" s="113" t="s">
        <v>25</v>
      </c>
      <c r="O370" s="116" t="s">
        <v>318</v>
      </c>
      <c r="P370" s="113" t="s">
        <v>319</v>
      </c>
      <c r="Q370" s="97"/>
      <c r="R370" s="97"/>
      <c r="S370" s="97"/>
      <c r="T370" s="97"/>
      <c r="U370" s="97"/>
      <c r="V370" s="97"/>
      <c r="W370" s="97"/>
      <c r="X370" s="142"/>
      <c r="Y370" s="142"/>
      <c r="Z370" s="142"/>
    </row>
    <row r="371">
      <c r="A371" s="104"/>
      <c r="B371" s="118">
        <f>B360+1</f>
        <v>34</v>
      </c>
      <c r="C371" s="119" t="s">
        <v>43</v>
      </c>
      <c r="D371" s="120" t="s">
        <v>44</v>
      </c>
      <c r="E371" s="121"/>
      <c r="F371" s="122" t="s">
        <v>45</v>
      </c>
      <c r="G371" s="11"/>
      <c r="H371" s="121"/>
      <c r="I371" s="123" t="s">
        <v>46</v>
      </c>
      <c r="J371" s="10"/>
      <c r="K371" s="10"/>
      <c r="L371" s="11"/>
      <c r="M371" s="121"/>
      <c r="N371" s="119"/>
      <c r="O371" s="119"/>
      <c r="P371" s="120"/>
      <c r="Q371" s="141"/>
      <c r="R371" s="141"/>
      <c r="S371" s="141"/>
      <c r="T371" s="141"/>
      <c r="U371" s="141"/>
      <c r="V371" s="141"/>
      <c r="W371" s="141"/>
      <c r="X371" s="142"/>
      <c r="Y371" s="142"/>
      <c r="Z371" s="142"/>
    </row>
    <row r="372">
      <c r="A372" s="104"/>
      <c r="B372" s="121"/>
      <c r="C372" s="126">
        <f>IF(ISBLANK($C$9),"",C367+1)</f>
        <v>45929</v>
      </c>
      <c r="D372" s="127"/>
      <c r="E372" s="121"/>
      <c r="F372" s="127" t="str">
        <f>IF(ISNUMBER(F367),F367+1,"")</f>
        <v/>
      </c>
      <c r="G372" s="128"/>
      <c r="H372" s="121"/>
      <c r="I372" s="127">
        <f t="shared" ref="I372:I378" si="129">J372*4+K372*4+L372*9</f>
        <v>0</v>
      </c>
      <c r="J372" s="127"/>
      <c r="K372" s="127"/>
      <c r="L372" s="127"/>
      <c r="M372" s="121"/>
      <c r="N372" s="128"/>
      <c r="O372" s="127"/>
      <c r="P372" s="127"/>
      <c r="Q372" s="97"/>
      <c r="R372" s="97"/>
      <c r="S372" s="97"/>
      <c r="T372" s="97"/>
      <c r="U372" s="97"/>
      <c r="V372" s="97"/>
      <c r="W372" s="97"/>
      <c r="X372" s="142"/>
      <c r="Y372" s="142"/>
      <c r="Z372" s="142"/>
    </row>
    <row r="373">
      <c r="A373" s="104"/>
      <c r="B373" s="121"/>
      <c r="C373" s="132">
        <f t="shared" ref="C373:C378" si="130">IF(ISBLANK($C$9),"",C372+1)</f>
        <v>45930</v>
      </c>
      <c r="D373" s="133"/>
      <c r="E373" s="121"/>
      <c r="F373" s="134" t="str">
        <f t="shared" ref="F373:F378" si="131">IF(ISNUMBER(F372),F372+1,"")</f>
        <v/>
      </c>
      <c r="G373" s="134"/>
      <c r="H373" s="121"/>
      <c r="I373" s="133">
        <f t="shared" si="129"/>
        <v>0</v>
      </c>
      <c r="J373" s="133"/>
      <c r="K373" s="133"/>
      <c r="L373" s="133"/>
      <c r="M373" s="121"/>
      <c r="N373" s="134"/>
      <c r="O373" s="133"/>
      <c r="P373" s="133"/>
      <c r="Q373" s="97"/>
      <c r="R373" s="97"/>
      <c r="S373" s="97"/>
      <c r="T373" s="97"/>
      <c r="U373" s="97"/>
      <c r="V373" s="97"/>
      <c r="W373" s="97"/>
      <c r="X373" s="142"/>
      <c r="Y373" s="142"/>
      <c r="Z373" s="142"/>
    </row>
    <row r="374">
      <c r="A374" s="104"/>
      <c r="B374" s="121"/>
      <c r="C374" s="132">
        <f t="shared" si="130"/>
        <v>45931</v>
      </c>
      <c r="D374" s="133"/>
      <c r="E374" s="121"/>
      <c r="F374" s="134" t="str">
        <f t="shared" si="131"/>
        <v/>
      </c>
      <c r="G374" s="134"/>
      <c r="H374" s="121"/>
      <c r="I374" s="133">
        <f t="shared" si="129"/>
        <v>0</v>
      </c>
      <c r="J374" s="133"/>
      <c r="K374" s="133"/>
      <c r="L374" s="133"/>
      <c r="M374" s="121"/>
      <c r="N374" s="134"/>
      <c r="O374" s="133"/>
      <c r="P374" s="133"/>
      <c r="Q374" s="97"/>
      <c r="R374" s="97"/>
      <c r="S374" s="97"/>
      <c r="T374" s="97"/>
      <c r="U374" s="97"/>
      <c r="V374" s="97"/>
      <c r="W374" s="97"/>
      <c r="X374" s="142"/>
      <c r="Y374" s="142"/>
      <c r="Z374" s="142"/>
    </row>
    <row r="375">
      <c r="A375" s="104"/>
      <c r="B375" s="121"/>
      <c r="C375" s="132">
        <f t="shared" si="130"/>
        <v>45932</v>
      </c>
      <c r="D375" s="133"/>
      <c r="E375" s="121"/>
      <c r="F375" s="134" t="str">
        <f t="shared" si="131"/>
        <v/>
      </c>
      <c r="G375" s="134"/>
      <c r="H375" s="121"/>
      <c r="I375" s="133">
        <f t="shared" si="129"/>
        <v>0</v>
      </c>
      <c r="J375" s="134"/>
      <c r="K375" s="134"/>
      <c r="L375" s="134"/>
      <c r="M375" s="121"/>
      <c r="N375" s="134"/>
      <c r="O375" s="133"/>
      <c r="P375" s="134"/>
      <c r="Q375" s="97"/>
      <c r="R375" s="97"/>
      <c r="S375" s="97"/>
      <c r="T375" s="97"/>
      <c r="U375" s="97"/>
      <c r="V375" s="97"/>
      <c r="W375" s="97"/>
      <c r="X375" s="142"/>
      <c r="Y375" s="142"/>
      <c r="Z375" s="142"/>
    </row>
    <row r="376">
      <c r="A376" s="104"/>
      <c r="B376" s="121"/>
      <c r="C376" s="132">
        <f t="shared" si="130"/>
        <v>45933</v>
      </c>
      <c r="D376" s="133"/>
      <c r="E376" s="121"/>
      <c r="F376" s="134" t="str">
        <f t="shared" si="131"/>
        <v/>
      </c>
      <c r="G376" s="134"/>
      <c r="H376" s="121"/>
      <c r="I376" s="133">
        <f t="shared" si="129"/>
        <v>0</v>
      </c>
      <c r="J376" s="134"/>
      <c r="K376" s="134"/>
      <c r="L376" s="134"/>
      <c r="M376" s="121"/>
      <c r="N376" s="134"/>
      <c r="O376" s="133"/>
      <c r="P376" s="133"/>
      <c r="Q376" s="97"/>
      <c r="R376" s="97"/>
      <c r="S376" s="97"/>
      <c r="T376" s="97"/>
      <c r="U376" s="97"/>
      <c r="V376" s="97"/>
      <c r="W376" s="97"/>
      <c r="X376" s="142"/>
      <c r="Y376" s="142"/>
      <c r="Z376" s="142"/>
    </row>
    <row r="377">
      <c r="A377" s="104"/>
      <c r="B377" s="121"/>
      <c r="C377" s="132">
        <f t="shared" si="130"/>
        <v>45934</v>
      </c>
      <c r="D377" s="133"/>
      <c r="E377" s="121"/>
      <c r="F377" s="134" t="str">
        <f t="shared" si="131"/>
        <v/>
      </c>
      <c r="G377" s="134"/>
      <c r="H377" s="121"/>
      <c r="I377" s="133">
        <f t="shared" si="129"/>
        <v>0</v>
      </c>
      <c r="J377" s="134"/>
      <c r="K377" s="134"/>
      <c r="L377" s="134"/>
      <c r="M377" s="121"/>
      <c r="N377" s="134"/>
      <c r="O377" s="133"/>
      <c r="P377" s="133"/>
      <c r="Q377" s="97"/>
      <c r="R377" s="97"/>
      <c r="S377" s="97"/>
      <c r="T377" s="97"/>
      <c r="U377" s="97"/>
      <c r="V377" s="97"/>
      <c r="W377" s="97"/>
      <c r="X377" s="142"/>
      <c r="Y377" s="142"/>
      <c r="Z377" s="142"/>
    </row>
    <row r="378">
      <c r="A378" s="104"/>
      <c r="B378" s="121"/>
      <c r="C378" s="135">
        <f t="shared" si="130"/>
        <v>45935</v>
      </c>
      <c r="D378" s="136"/>
      <c r="E378" s="121"/>
      <c r="F378" s="137" t="str">
        <f t="shared" si="131"/>
        <v/>
      </c>
      <c r="G378" s="137"/>
      <c r="H378" s="121"/>
      <c r="I378" s="136">
        <f t="shared" si="129"/>
        <v>0</v>
      </c>
      <c r="J378" s="137"/>
      <c r="K378" s="137"/>
      <c r="L378" s="137"/>
      <c r="M378" s="121"/>
      <c r="N378" s="137"/>
      <c r="O378" s="136"/>
      <c r="P378" s="137"/>
      <c r="Q378" s="97"/>
      <c r="R378" s="97"/>
      <c r="S378" s="97"/>
      <c r="T378" s="97"/>
      <c r="U378" s="97"/>
      <c r="V378" s="97"/>
      <c r="W378" s="97"/>
      <c r="X378" s="142"/>
      <c r="Y378" s="142"/>
      <c r="Z378" s="142"/>
    </row>
    <row r="379">
      <c r="A379" s="104"/>
      <c r="B379" s="138"/>
      <c r="C379" s="112" t="s">
        <v>51</v>
      </c>
      <c r="D379" s="116">
        <f>IFERROR(ROUND(AVERAGE(D372:D378),1),0)</f>
        <v>0</v>
      </c>
      <c r="E379" s="138"/>
      <c r="F379" s="115" t="s">
        <v>52</v>
      </c>
      <c r="G379" s="11"/>
      <c r="H379" s="138"/>
      <c r="I379" s="116">
        <f>IFERROR(ROUND(AVERAGEIF(I372:I378,"&lt;&gt;0"),0),0)</f>
        <v>0</v>
      </c>
      <c r="J379" s="116">
        <f t="shared" ref="J379:L379" si="132">IFERROR(ROUND(AVERAGE(J372:J378),0),0)</f>
        <v>0</v>
      </c>
      <c r="K379" s="116">
        <f t="shared" si="132"/>
        <v>0</v>
      </c>
      <c r="L379" s="116">
        <f t="shared" si="132"/>
        <v>0</v>
      </c>
      <c r="M379" s="138"/>
      <c r="N379" s="116">
        <f>IFERROR(ROUND(AVERAGE(N372:N378),0),0)</f>
        <v>0</v>
      </c>
      <c r="O379" s="116">
        <f>IFERROR(SUM(O372:O378),0)</f>
        <v>0</v>
      </c>
      <c r="P379" s="116">
        <f>IFERROR(COUNTA(P372:P378),0)</f>
        <v>0</v>
      </c>
      <c r="Q379" s="97"/>
      <c r="R379" s="97"/>
      <c r="S379" s="97"/>
      <c r="T379" s="97"/>
      <c r="U379" s="97"/>
      <c r="V379" s="97"/>
      <c r="W379" s="97"/>
      <c r="X379" s="142"/>
      <c r="Y379" s="142"/>
      <c r="Z379" s="142"/>
    </row>
    <row r="380">
      <c r="A380" s="97"/>
      <c r="B380" s="109"/>
      <c r="C380" s="97"/>
      <c r="D380" s="98"/>
      <c r="E380" s="140"/>
      <c r="F380" s="140"/>
      <c r="G380" s="140"/>
      <c r="H380" s="140"/>
      <c r="I380" s="140"/>
      <c r="J380" s="140"/>
      <c r="K380" s="140"/>
      <c r="L380" s="140"/>
      <c r="M380" s="140"/>
      <c r="N380" s="98"/>
      <c r="O380" s="98"/>
      <c r="P380" s="98"/>
      <c r="Q380" s="97"/>
      <c r="R380" s="97"/>
      <c r="S380" s="97"/>
      <c r="T380" s="97"/>
      <c r="U380" s="97"/>
      <c r="V380" s="97"/>
      <c r="W380" s="97"/>
      <c r="X380" s="142"/>
      <c r="Y380" s="142"/>
      <c r="Z380" s="142"/>
    </row>
    <row r="381">
      <c r="A381" s="97"/>
      <c r="B381" s="112" t="s">
        <v>30</v>
      </c>
      <c r="C381" s="112" t="s">
        <v>31</v>
      </c>
      <c r="D381" s="113" t="s">
        <v>320</v>
      </c>
      <c r="E381" s="114" t="s">
        <v>33</v>
      </c>
      <c r="F381" s="115" t="s">
        <v>321</v>
      </c>
      <c r="G381" s="11"/>
      <c r="H381" s="114" t="s">
        <v>35</v>
      </c>
      <c r="I381" s="113" t="s">
        <v>322</v>
      </c>
      <c r="J381" s="113" t="s">
        <v>323</v>
      </c>
      <c r="K381" s="113" t="s">
        <v>324</v>
      </c>
      <c r="L381" s="113" t="s">
        <v>325</v>
      </c>
      <c r="M381" s="114" t="s">
        <v>40</v>
      </c>
      <c r="N381" s="113" t="s">
        <v>25</v>
      </c>
      <c r="O381" s="116" t="s">
        <v>326</v>
      </c>
      <c r="P381" s="113" t="s">
        <v>327</v>
      </c>
      <c r="Q381" s="97"/>
      <c r="R381" s="97"/>
      <c r="S381" s="97"/>
      <c r="T381" s="97"/>
      <c r="U381" s="97"/>
      <c r="V381" s="97"/>
      <c r="W381" s="97"/>
      <c r="X381" s="142"/>
      <c r="Y381" s="142"/>
      <c r="Z381" s="142"/>
    </row>
    <row r="382">
      <c r="A382" s="104"/>
      <c r="B382" s="118">
        <f>B371+1</f>
        <v>35</v>
      </c>
      <c r="C382" s="119" t="s">
        <v>43</v>
      </c>
      <c r="D382" s="120" t="s">
        <v>44</v>
      </c>
      <c r="E382" s="121"/>
      <c r="F382" s="122" t="s">
        <v>45</v>
      </c>
      <c r="G382" s="11"/>
      <c r="H382" s="121"/>
      <c r="I382" s="123" t="s">
        <v>46</v>
      </c>
      <c r="J382" s="10"/>
      <c r="K382" s="10"/>
      <c r="L382" s="11"/>
      <c r="M382" s="121"/>
      <c r="N382" s="119"/>
      <c r="O382" s="119"/>
      <c r="P382" s="120"/>
      <c r="Q382" s="141"/>
      <c r="R382" s="141"/>
      <c r="S382" s="141"/>
      <c r="T382" s="141"/>
      <c r="U382" s="141"/>
      <c r="V382" s="141"/>
      <c r="W382" s="141"/>
      <c r="X382" s="142"/>
      <c r="Y382" s="142"/>
      <c r="Z382" s="142"/>
    </row>
    <row r="383">
      <c r="A383" s="104"/>
      <c r="B383" s="121"/>
      <c r="C383" s="126">
        <f>IF(ISBLANK($C$9),"",C378+1)</f>
        <v>45936</v>
      </c>
      <c r="D383" s="127"/>
      <c r="E383" s="121"/>
      <c r="F383" s="127" t="str">
        <f>IF(ISNUMBER(F378),F378+1,"")</f>
        <v/>
      </c>
      <c r="G383" s="128"/>
      <c r="H383" s="121"/>
      <c r="I383" s="127">
        <f t="shared" ref="I383:I389" si="133">J383*4+K383*4+L383*9</f>
        <v>0</v>
      </c>
      <c r="J383" s="127"/>
      <c r="K383" s="127"/>
      <c r="L383" s="127"/>
      <c r="M383" s="121"/>
      <c r="N383" s="128"/>
      <c r="O383" s="127"/>
      <c r="P383" s="127"/>
      <c r="Q383" s="97"/>
      <c r="R383" s="97"/>
      <c r="S383" s="97"/>
      <c r="T383" s="97"/>
      <c r="U383" s="97"/>
      <c r="V383" s="97"/>
      <c r="W383" s="97"/>
      <c r="X383" s="142"/>
      <c r="Y383" s="142"/>
      <c r="Z383" s="142"/>
    </row>
    <row r="384">
      <c r="A384" s="104"/>
      <c r="B384" s="121"/>
      <c r="C384" s="132">
        <f t="shared" ref="C384:C389" si="134">IF(ISBLANK($C$9),"",C383+1)</f>
        <v>45937</v>
      </c>
      <c r="D384" s="133"/>
      <c r="E384" s="121"/>
      <c r="F384" s="134" t="str">
        <f t="shared" ref="F384:F389" si="135">IF(ISNUMBER(F383),F383+1,"")</f>
        <v/>
      </c>
      <c r="G384" s="134"/>
      <c r="H384" s="121"/>
      <c r="I384" s="133">
        <f t="shared" si="133"/>
        <v>0</v>
      </c>
      <c r="J384" s="133"/>
      <c r="K384" s="133"/>
      <c r="L384" s="133"/>
      <c r="M384" s="121"/>
      <c r="N384" s="134"/>
      <c r="O384" s="133"/>
      <c r="P384" s="133"/>
      <c r="Q384" s="97"/>
      <c r="R384" s="97"/>
      <c r="S384" s="97"/>
      <c r="T384" s="97"/>
      <c r="U384" s="97"/>
      <c r="V384" s="97"/>
      <c r="W384" s="97"/>
      <c r="X384" s="142"/>
      <c r="Y384" s="142"/>
      <c r="Z384" s="142"/>
    </row>
    <row r="385">
      <c r="A385" s="104"/>
      <c r="B385" s="121"/>
      <c r="C385" s="132">
        <f t="shared" si="134"/>
        <v>45938</v>
      </c>
      <c r="D385" s="133"/>
      <c r="E385" s="121"/>
      <c r="F385" s="134" t="str">
        <f t="shared" si="135"/>
        <v/>
      </c>
      <c r="G385" s="134"/>
      <c r="H385" s="121"/>
      <c r="I385" s="133">
        <f t="shared" si="133"/>
        <v>0</v>
      </c>
      <c r="J385" s="133"/>
      <c r="K385" s="133"/>
      <c r="L385" s="133"/>
      <c r="M385" s="121"/>
      <c r="N385" s="134"/>
      <c r="O385" s="133"/>
      <c r="P385" s="133"/>
      <c r="Q385" s="97"/>
      <c r="R385" s="97"/>
      <c r="S385" s="97"/>
      <c r="T385" s="97"/>
      <c r="U385" s="97"/>
      <c r="V385" s="97"/>
      <c r="W385" s="97"/>
      <c r="X385" s="142"/>
      <c r="Y385" s="142"/>
      <c r="Z385" s="142"/>
    </row>
    <row r="386">
      <c r="A386" s="104"/>
      <c r="B386" s="121"/>
      <c r="C386" s="132">
        <f t="shared" si="134"/>
        <v>45939</v>
      </c>
      <c r="D386" s="133"/>
      <c r="E386" s="121"/>
      <c r="F386" s="134" t="str">
        <f t="shared" si="135"/>
        <v/>
      </c>
      <c r="G386" s="134"/>
      <c r="H386" s="121"/>
      <c r="I386" s="133">
        <f t="shared" si="133"/>
        <v>0</v>
      </c>
      <c r="J386" s="134"/>
      <c r="K386" s="134"/>
      <c r="L386" s="134"/>
      <c r="M386" s="121"/>
      <c r="N386" s="134"/>
      <c r="O386" s="133"/>
      <c r="P386" s="134"/>
      <c r="Q386" s="97"/>
      <c r="R386" s="97"/>
      <c r="S386" s="97"/>
      <c r="T386" s="97"/>
      <c r="U386" s="97"/>
      <c r="V386" s="97"/>
      <c r="W386" s="97"/>
      <c r="X386" s="142"/>
      <c r="Y386" s="142"/>
      <c r="Z386" s="142"/>
    </row>
    <row r="387">
      <c r="A387" s="104"/>
      <c r="B387" s="121"/>
      <c r="C387" s="132">
        <f t="shared" si="134"/>
        <v>45940</v>
      </c>
      <c r="D387" s="133"/>
      <c r="E387" s="121"/>
      <c r="F387" s="134" t="str">
        <f t="shared" si="135"/>
        <v/>
      </c>
      <c r="G387" s="134"/>
      <c r="H387" s="121"/>
      <c r="I387" s="133">
        <f t="shared" si="133"/>
        <v>0</v>
      </c>
      <c r="J387" s="134"/>
      <c r="K387" s="134"/>
      <c r="L387" s="134"/>
      <c r="M387" s="121"/>
      <c r="N387" s="134"/>
      <c r="O387" s="133"/>
      <c r="P387" s="133"/>
      <c r="Q387" s="97"/>
      <c r="R387" s="97"/>
      <c r="S387" s="97"/>
      <c r="T387" s="97"/>
      <c r="U387" s="97"/>
      <c r="V387" s="97"/>
      <c r="W387" s="97"/>
      <c r="X387" s="142"/>
      <c r="Y387" s="142"/>
      <c r="Z387" s="142"/>
    </row>
    <row r="388">
      <c r="A388" s="104"/>
      <c r="B388" s="121"/>
      <c r="C388" s="132">
        <f t="shared" si="134"/>
        <v>45941</v>
      </c>
      <c r="D388" s="133"/>
      <c r="E388" s="121"/>
      <c r="F388" s="134" t="str">
        <f t="shared" si="135"/>
        <v/>
      </c>
      <c r="G388" s="134"/>
      <c r="H388" s="121"/>
      <c r="I388" s="133">
        <f t="shared" si="133"/>
        <v>0</v>
      </c>
      <c r="J388" s="134"/>
      <c r="K388" s="134"/>
      <c r="L388" s="134"/>
      <c r="M388" s="121"/>
      <c r="N388" s="134"/>
      <c r="O388" s="133"/>
      <c r="P388" s="133"/>
      <c r="Q388" s="97"/>
      <c r="R388" s="97"/>
      <c r="S388" s="97"/>
      <c r="T388" s="97"/>
      <c r="U388" s="97"/>
      <c r="V388" s="97"/>
      <c r="W388" s="97"/>
      <c r="X388" s="142"/>
      <c r="Y388" s="142"/>
      <c r="Z388" s="142"/>
    </row>
    <row r="389">
      <c r="A389" s="104"/>
      <c r="B389" s="121"/>
      <c r="C389" s="135">
        <f t="shared" si="134"/>
        <v>45942</v>
      </c>
      <c r="D389" s="136"/>
      <c r="E389" s="121"/>
      <c r="F389" s="137" t="str">
        <f t="shared" si="135"/>
        <v/>
      </c>
      <c r="G389" s="137"/>
      <c r="H389" s="121"/>
      <c r="I389" s="136">
        <f t="shared" si="133"/>
        <v>0</v>
      </c>
      <c r="J389" s="137"/>
      <c r="K389" s="137"/>
      <c r="L389" s="137"/>
      <c r="M389" s="121"/>
      <c r="N389" s="137"/>
      <c r="O389" s="136"/>
      <c r="P389" s="137"/>
      <c r="Q389" s="97"/>
      <c r="R389" s="97"/>
      <c r="S389" s="97"/>
      <c r="T389" s="97"/>
      <c r="U389" s="97"/>
      <c r="V389" s="97"/>
      <c r="W389" s="97"/>
      <c r="X389" s="142"/>
      <c r="Y389" s="142"/>
      <c r="Z389" s="142"/>
    </row>
    <row r="390">
      <c r="A390" s="104"/>
      <c r="B390" s="138"/>
      <c r="C390" s="112" t="s">
        <v>51</v>
      </c>
      <c r="D390" s="116">
        <f>IFERROR(ROUND(AVERAGE(D383:D389),1),0)</f>
        <v>0</v>
      </c>
      <c r="E390" s="138"/>
      <c r="F390" s="115" t="s">
        <v>52</v>
      </c>
      <c r="G390" s="11"/>
      <c r="H390" s="138"/>
      <c r="I390" s="116">
        <f>IFERROR(ROUND(AVERAGEIF(I383:I389,"&lt;&gt;0"),0),0)</f>
        <v>0</v>
      </c>
      <c r="J390" s="116">
        <f t="shared" ref="J390:L390" si="136">IFERROR(ROUND(AVERAGE(J383:J389),0),0)</f>
        <v>0</v>
      </c>
      <c r="K390" s="116">
        <f t="shared" si="136"/>
        <v>0</v>
      </c>
      <c r="L390" s="116">
        <f t="shared" si="136"/>
        <v>0</v>
      </c>
      <c r="M390" s="138"/>
      <c r="N390" s="116">
        <f>IFERROR(ROUND(AVERAGE(N383:N389),0),0)</f>
        <v>0</v>
      </c>
      <c r="O390" s="116">
        <f>IFERROR(SUM(O383:O389),0)</f>
        <v>0</v>
      </c>
      <c r="P390" s="116">
        <f>IFERROR(COUNTA(P383:P389),0)</f>
        <v>0</v>
      </c>
      <c r="Q390" s="97"/>
      <c r="R390" s="97"/>
      <c r="S390" s="97"/>
      <c r="T390" s="97"/>
      <c r="U390" s="97"/>
      <c r="V390" s="97"/>
      <c r="W390" s="97"/>
      <c r="X390" s="142"/>
      <c r="Y390" s="142"/>
      <c r="Z390" s="142"/>
    </row>
    <row r="391">
      <c r="A391" s="97"/>
      <c r="B391" s="109"/>
      <c r="C391" s="97"/>
      <c r="D391" s="98"/>
      <c r="E391" s="140"/>
      <c r="F391" s="140"/>
      <c r="G391" s="140"/>
      <c r="H391" s="140"/>
      <c r="I391" s="140"/>
      <c r="J391" s="140"/>
      <c r="K391" s="140"/>
      <c r="L391" s="140"/>
      <c r="M391" s="140"/>
      <c r="N391" s="98"/>
      <c r="O391" s="98"/>
      <c r="P391" s="98"/>
      <c r="Q391" s="97"/>
      <c r="R391" s="97"/>
      <c r="S391" s="97"/>
      <c r="T391" s="97"/>
      <c r="U391" s="97"/>
      <c r="V391" s="97"/>
      <c r="W391" s="97"/>
      <c r="X391" s="142"/>
      <c r="Y391" s="142"/>
      <c r="Z391" s="142"/>
    </row>
    <row r="392">
      <c r="A392" s="97"/>
      <c r="B392" s="112" t="s">
        <v>30</v>
      </c>
      <c r="C392" s="112" t="s">
        <v>31</v>
      </c>
      <c r="D392" s="113" t="s">
        <v>328</v>
      </c>
      <c r="E392" s="114" t="s">
        <v>33</v>
      </c>
      <c r="F392" s="115" t="s">
        <v>329</v>
      </c>
      <c r="G392" s="11"/>
      <c r="H392" s="114" t="s">
        <v>35</v>
      </c>
      <c r="I392" s="113" t="s">
        <v>330</v>
      </c>
      <c r="J392" s="113" t="s">
        <v>331</v>
      </c>
      <c r="K392" s="113" t="s">
        <v>332</v>
      </c>
      <c r="L392" s="113" t="s">
        <v>333</v>
      </c>
      <c r="M392" s="114" t="s">
        <v>40</v>
      </c>
      <c r="N392" s="113" t="s">
        <v>25</v>
      </c>
      <c r="O392" s="116" t="s">
        <v>334</v>
      </c>
      <c r="P392" s="113" t="s">
        <v>335</v>
      </c>
      <c r="Q392" s="97"/>
      <c r="R392" s="97"/>
      <c r="S392" s="97"/>
      <c r="T392" s="97"/>
      <c r="U392" s="97"/>
      <c r="V392" s="97"/>
      <c r="W392" s="97"/>
      <c r="X392" s="142"/>
      <c r="Y392" s="142"/>
      <c r="Z392" s="142"/>
    </row>
    <row r="393">
      <c r="A393" s="104"/>
      <c r="B393" s="118">
        <f>B382+1</f>
        <v>36</v>
      </c>
      <c r="C393" s="119" t="s">
        <v>43</v>
      </c>
      <c r="D393" s="120" t="s">
        <v>44</v>
      </c>
      <c r="E393" s="121"/>
      <c r="F393" s="122" t="s">
        <v>45</v>
      </c>
      <c r="G393" s="11"/>
      <c r="H393" s="121"/>
      <c r="I393" s="123" t="s">
        <v>46</v>
      </c>
      <c r="J393" s="10"/>
      <c r="K393" s="10"/>
      <c r="L393" s="11"/>
      <c r="M393" s="121"/>
      <c r="N393" s="119"/>
      <c r="O393" s="119"/>
      <c r="P393" s="120"/>
      <c r="Q393" s="141"/>
      <c r="R393" s="141"/>
      <c r="S393" s="141"/>
      <c r="T393" s="141"/>
      <c r="U393" s="141"/>
      <c r="V393" s="141"/>
      <c r="W393" s="141"/>
      <c r="X393" s="142"/>
      <c r="Y393" s="142"/>
      <c r="Z393" s="142"/>
    </row>
    <row r="394">
      <c r="A394" s="104"/>
      <c r="B394" s="121"/>
      <c r="C394" s="126">
        <f>IF(ISBLANK($C$9),"",C389+1)</f>
        <v>45943</v>
      </c>
      <c r="D394" s="127"/>
      <c r="E394" s="121"/>
      <c r="F394" s="127" t="str">
        <f>IF(ISNUMBER(F389),F389+1,"")</f>
        <v/>
      </c>
      <c r="G394" s="128"/>
      <c r="H394" s="121"/>
      <c r="I394" s="127">
        <f t="shared" ref="I394:I400" si="137">J394*4+K394*4+L394*9</f>
        <v>0</v>
      </c>
      <c r="J394" s="127"/>
      <c r="K394" s="127"/>
      <c r="L394" s="127"/>
      <c r="M394" s="121"/>
      <c r="N394" s="128"/>
      <c r="O394" s="127"/>
      <c r="P394" s="127"/>
      <c r="Q394" s="97"/>
      <c r="R394" s="97"/>
      <c r="S394" s="97"/>
      <c r="T394" s="97"/>
      <c r="U394" s="97"/>
      <c r="V394" s="97"/>
      <c r="W394" s="97"/>
      <c r="X394" s="142"/>
      <c r="Y394" s="142"/>
      <c r="Z394" s="142"/>
    </row>
    <row r="395">
      <c r="A395" s="104"/>
      <c r="B395" s="121"/>
      <c r="C395" s="132">
        <f t="shared" ref="C395:C400" si="138">IF(ISBLANK($C$9),"",C394+1)</f>
        <v>45944</v>
      </c>
      <c r="D395" s="133"/>
      <c r="E395" s="121"/>
      <c r="F395" s="134" t="str">
        <f t="shared" ref="F395:F400" si="139">IF(ISNUMBER(F394),F394+1,"")</f>
        <v/>
      </c>
      <c r="G395" s="134"/>
      <c r="H395" s="121"/>
      <c r="I395" s="133">
        <f t="shared" si="137"/>
        <v>0</v>
      </c>
      <c r="J395" s="133"/>
      <c r="K395" s="133"/>
      <c r="L395" s="133"/>
      <c r="M395" s="121"/>
      <c r="N395" s="134"/>
      <c r="O395" s="133"/>
      <c r="P395" s="133"/>
      <c r="Q395" s="97"/>
      <c r="R395" s="97"/>
      <c r="S395" s="97"/>
      <c r="T395" s="97"/>
      <c r="U395" s="97"/>
      <c r="V395" s="97"/>
      <c r="W395" s="97"/>
      <c r="X395" s="142"/>
      <c r="Y395" s="142"/>
      <c r="Z395" s="142"/>
    </row>
    <row r="396">
      <c r="A396" s="104"/>
      <c r="B396" s="121"/>
      <c r="C396" s="132">
        <f t="shared" si="138"/>
        <v>45945</v>
      </c>
      <c r="D396" s="133"/>
      <c r="E396" s="121"/>
      <c r="F396" s="134" t="str">
        <f t="shared" si="139"/>
        <v/>
      </c>
      <c r="G396" s="134"/>
      <c r="H396" s="121"/>
      <c r="I396" s="133">
        <f t="shared" si="137"/>
        <v>0</v>
      </c>
      <c r="J396" s="133"/>
      <c r="K396" s="133"/>
      <c r="L396" s="133"/>
      <c r="M396" s="121"/>
      <c r="N396" s="134"/>
      <c r="O396" s="133"/>
      <c r="P396" s="133"/>
      <c r="Q396" s="97"/>
      <c r="R396" s="97"/>
      <c r="S396" s="97"/>
      <c r="T396" s="97"/>
      <c r="U396" s="97"/>
      <c r="V396" s="97"/>
      <c r="W396" s="97"/>
      <c r="X396" s="142"/>
      <c r="Y396" s="142"/>
      <c r="Z396" s="142"/>
    </row>
    <row r="397">
      <c r="A397" s="104"/>
      <c r="B397" s="121"/>
      <c r="C397" s="132">
        <f t="shared" si="138"/>
        <v>45946</v>
      </c>
      <c r="D397" s="133"/>
      <c r="E397" s="121"/>
      <c r="F397" s="134" t="str">
        <f t="shared" si="139"/>
        <v/>
      </c>
      <c r="G397" s="134"/>
      <c r="H397" s="121"/>
      <c r="I397" s="133">
        <f t="shared" si="137"/>
        <v>0</v>
      </c>
      <c r="J397" s="134"/>
      <c r="K397" s="134"/>
      <c r="L397" s="134"/>
      <c r="M397" s="121"/>
      <c r="N397" s="134"/>
      <c r="O397" s="133"/>
      <c r="P397" s="134"/>
      <c r="Q397" s="97"/>
      <c r="R397" s="97"/>
      <c r="S397" s="97"/>
      <c r="T397" s="97"/>
      <c r="U397" s="97"/>
      <c r="V397" s="97"/>
      <c r="W397" s="97"/>
      <c r="X397" s="142"/>
      <c r="Y397" s="142"/>
      <c r="Z397" s="142"/>
    </row>
    <row r="398">
      <c r="A398" s="104"/>
      <c r="B398" s="121"/>
      <c r="C398" s="132">
        <f t="shared" si="138"/>
        <v>45947</v>
      </c>
      <c r="D398" s="133"/>
      <c r="E398" s="121"/>
      <c r="F398" s="134" t="str">
        <f t="shared" si="139"/>
        <v/>
      </c>
      <c r="G398" s="134"/>
      <c r="H398" s="121"/>
      <c r="I398" s="133">
        <f t="shared" si="137"/>
        <v>0</v>
      </c>
      <c r="J398" s="134"/>
      <c r="K398" s="134"/>
      <c r="L398" s="134"/>
      <c r="M398" s="121"/>
      <c r="N398" s="134"/>
      <c r="O398" s="133"/>
      <c r="P398" s="133"/>
      <c r="Q398" s="97"/>
      <c r="R398" s="97"/>
      <c r="S398" s="97"/>
      <c r="T398" s="97"/>
      <c r="U398" s="97"/>
      <c r="V398" s="97"/>
      <c r="W398" s="97"/>
      <c r="X398" s="142"/>
      <c r="Y398" s="142"/>
      <c r="Z398" s="142"/>
    </row>
    <row r="399">
      <c r="A399" s="104"/>
      <c r="B399" s="121"/>
      <c r="C399" s="132">
        <f t="shared" si="138"/>
        <v>45948</v>
      </c>
      <c r="D399" s="133"/>
      <c r="E399" s="121"/>
      <c r="F399" s="134" t="str">
        <f t="shared" si="139"/>
        <v/>
      </c>
      <c r="G399" s="134"/>
      <c r="H399" s="121"/>
      <c r="I399" s="133">
        <f t="shared" si="137"/>
        <v>0</v>
      </c>
      <c r="J399" s="134"/>
      <c r="K399" s="134"/>
      <c r="L399" s="134"/>
      <c r="M399" s="121"/>
      <c r="N399" s="134"/>
      <c r="O399" s="133"/>
      <c r="P399" s="133"/>
      <c r="Q399" s="97"/>
      <c r="R399" s="97"/>
      <c r="S399" s="97"/>
      <c r="T399" s="97"/>
      <c r="U399" s="97"/>
      <c r="V399" s="97"/>
      <c r="W399" s="97"/>
      <c r="X399" s="142"/>
      <c r="Y399" s="142"/>
      <c r="Z399" s="142"/>
    </row>
    <row r="400">
      <c r="A400" s="104"/>
      <c r="B400" s="121"/>
      <c r="C400" s="135">
        <f t="shared" si="138"/>
        <v>45949</v>
      </c>
      <c r="D400" s="136"/>
      <c r="E400" s="121"/>
      <c r="F400" s="137" t="str">
        <f t="shared" si="139"/>
        <v/>
      </c>
      <c r="G400" s="137"/>
      <c r="H400" s="121"/>
      <c r="I400" s="136">
        <f t="shared" si="137"/>
        <v>0</v>
      </c>
      <c r="J400" s="137"/>
      <c r="K400" s="137"/>
      <c r="L400" s="137"/>
      <c r="M400" s="121"/>
      <c r="N400" s="137"/>
      <c r="O400" s="136"/>
      <c r="P400" s="137"/>
      <c r="Q400" s="97"/>
      <c r="R400" s="97"/>
      <c r="S400" s="97"/>
      <c r="T400" s="97"/>
      <c r="U400" s="97"/>
      <c r="V400" s="97"/>
      <c r="W400" s="97"/>
      <c r="X400" s="142"/>
      <c r="Y400" s="142"/>
      <c r="Z400" s="142"/>
    </row>
    <row r="401">
      <c r="A401" s="104"/>
      <c r="B401" s="138"/>
      <c r="C401" s="112" t="s">
        <v>51</v>
      </c>
      <c r="D401" s="116">
        <f>IFERROR(ROUND(AVERAGE(D394:D400),1),0)</f>
        <v>0</v>
      </c>
      <c r="E401" s="138"/>
      <c r="F401" s="115" t="s">
        <v>52</v>
      </c>
      <c r="G401" s="11"/>
      <c r="H401" s="138"/>
      <c r="I401" s="116">
        <f>IFERROR(ROUND(AVERAGEIF(I394:I400,"&lt;&gt;0"),0),0)</f>
        <v>0</v>
      </c>
      <c r="J401" s="116">
        <f t="shared" ref="J401:L401" si="140">IFERROR(ROUND(AVERAGE(J394:J400),0),0)</f>
        <v>0</v>
      </c>
      <c r="K401" s="116">
        <f t="shared" si="140"/>
        <v>0</v>
      </c>
      <c r="L401" s="116">
        <f t="shared" si="140"/>
        <v>0</v>
      </c>
      <c r="M401" s="138"/>
      <c r="N401" s="116">
        <f>IFERROR(ROUND(AVERAGE(N394:N400),0),0)</f>
        <v>0</v>
      </c>
      <c r="O401" s="116">
        <f>IFERROR(SUM(O394:O400),0)</f>
        <v>0</v>
      </c>
      <c r="P401" s="116">
        <f>IFERROR(COUNTA(P394:P400),0)</f>
        <v>0</v>
      </c>
      <c r="Q401" s="97"/>
      <c r="R401" s="97"/>
      <c r="S401" s="97"/>
      <c r="T401" s="97"/>
      <c r="U401" s="97"/>
      <c r="V401" s="97"/>
      <c r="W401" s="97"/>
      <c r="X401" s="142"/>
      <c r="Y401" s="142"/>
      <c r="Z401" s="142"/>
    </row>
    <row r="402">
      <c r="A402" s="97"/>
      <c r="B402" s="109"/>
      <c r="C402" s="97"/>
      <c r="D402" s="98"/>
      <c r="E402" s="140"/>
      <c r="F402" s="140"/>
      <c r="G402" s="140"/>
      <c r="H402" s="140"/>
      <c r="I402" s="140"/>
      <c r="J402" s="140"/>
      <c r="K402" s="140"/>
      <c r="L402" s="140"/>
      <c r="M402" s="140"/>
      <c r="N402" s="98"/>
      <c r="O402" s="98"/>
      <c r="P402" s="98"/>
      <c r="Q402" s="97"/>
      <c r="R402" s="97"/>
      <c r="S402" s="97"/>
      <c r="T402" s="97"/>
      <c r="U402" s="97"/>
      <c r="V402" s="97"/>
      <c r="W402" s="97"/>
      <c r="X402" s="142"/>
      <c r="Y402" s="142"/>
      <c r="Z402" s="142"/>
    </row>
    <row r="403">
      <c r="A403" s="97"/>
      <c r="B403" s="112" t="s">
        <v>30</v>
      </c>
      <c r="C403" s="112" t="s">
        <v>31</v>
      </c>
      <c r="D403" s="113" t="s">
        <v>336</v>
      </c>
      <c r="E403" s="114" t="s">
        <v>33</v>
      </c>
      <c r="F403" s="115" t="s">
        <v>337</v>
      </c>
      <c r="G403" s="11"/>
      <c r="H403" s="114" t="s">
        <v>35</v>
      </c>
      <c r="I403" s="113" t="s">
        <v>338</v>
      </c>
      <c r="J403" s="113" t="s">
        <v>339</v>
      </c>
      <c r="K403" s="113" t="s">
        <v>340</v>
      </c>
      <c r="L403" s="113" t="s">
        <v>341</v>
      </c>
      <c r="M403" s="114" t="s">
        <v>40</v>
      </c>
      <c r="N403" s="113" t="s">
        <v>25</v>
      </c>
      <c r="O403" s="116" t="s">
        <v>342</v>
      </c>
      <c r="P403" s="113" t="s">
        <v>343</v>
      </c>
      <c r="Q403" s="97"/>
      <c r="R403" s="97"/>
      <c r="S403" s="97"/>
      <c r="T403" s="97"/>
      <c r="U403" s="97"/>
      <c r="V403" s="97"/>
      <c r="W403" s="97"/>
      <c r="X403" s="142"/>
      <c r="Y403" s="142"/>
      <c r="Z403" s="142"/>
    </row>
    <row r="404">
      <c r="A404" s="104"/>
      <c r="B404" s="118">
        <f>B393+1</f>
        <v>37</v>
      </c>
      <c r="C404" s="119" t="s">
        <v>43</v>
      </c>
      <c r="D404" s="120" t="s">
        <v>44</v>
      </c>
      <c r="E404" s="121"/>
      <c r="F404" s="122" t="s">
        <v>45</v>
      </c>
      <c r="G404" s="11"/>
      <c r="H404" s="121"/>
      <c r="I404" s="123" t="s">
        <v>46</v>
      </c>
      <c r="J404" s="10"/>
      <c r="K404" s="10"/>
      <c r="L404" s="11"/>
      <c r="M404" s="121"/>
      <c r="N404" s="119"/>
      <c r="O404" s="119"/>
      <c r="P404" s="120"/>
      <c r="Q404" s="141"/>
      <c r="R404" s="141"/>
      <c r="S404" s="141"/>
      <c r="T404" s="141"/>
      <c r="U404" s="141"/>
      <c r="V404" s="141"/>
      <c r="W404" s="141"/>
      <c r="X404" s="142"/>
      <c r="Y404" s="142"/>
      <c r="Z404" s="142"/>
    </row>
    <row r="405">
      <c r="A405" s="104"/>
      <c r="B405" s="121"/>
      <c r="C405" s="126">
        <f>IF(ISBLANK($C$9),"",C400+1)</f>
        <v>45950</v>
      </c>
      <c r="D405" s="127"/>
      <c r="E405" s="121"/>
      <c r="F405" s="127" t="str">
        <f>IF(ISNUMBER(F400),F400+1,"")</f>
        <v/>
      </c>
      <c r="G405" s="128"/>
      <c r="H405" s="121"/>
      <c r="I405" s="127">
        <f t="shared" ref="I405:I411" si="141">J405*4+K405*4+L405*9</f>
        <v>0</v>
      </c>
      <c r="J405" s="127"/>
      <c r="K405" s="127"/>
      <c r="L405" s="127"/>
      <c r="M405" s="121"/>
      <c r="N405" s="128"/>
      <c r="O405" s="127"/>
      <c r="P405" s="127"/>
      <c r="Q405" s="97"/>
      <c r="R405" s="97"/>
      <c r="S405" s="97"/>
      <c r="T405" s="97"/>
      <c r="U405" s="97"/>
      <c r="V405" s="97"/>
      <c r="W405" s="97"/>
      <c r="X405" s="142"/>
      <c r="Y405" s="142"/>
      <c r="Z405" s="142"/>
    </row>
    <row r="406">
      <c r="A406" s="104"/>
      <c r="B406" s="121"/>
      <c r="C406" s="132">
        <f t="shared" ref="C406:C411" si="142">IF(ISBLANK($C$9),"",C405+1)</f>
        <v>45951</v>
      </c>
      <c r="D406" s="133"/>
      <c r="E406" s="121"/>
      <c r="F406" s="134" t="str">
        <f t="shared" ref="F406:F411" si="143">IF(ISNUMBER(F405),F405+1,"")</f>
        <v/>
      </c>
      <c r="G406" s="134"/>
      <c r="H406" s="121"/>
      <c r="I406" s="133">
        <f t="shared" si="141"/>
        <v>0</v>
      </c>
      <c r="J406" s="133"/>
      <c r="K406" s="133"/>
      <c r="L406" s="133"/>
      <c r="M406" s="121"/>
      <c r="N406" s="134"/>
      <c r="O406" s="133"/>
      <c r="P406" s="133"/>
      <c r="Q406" s="97"/>
      <c r="R406" s="97"/>
      <c r="S406" s="97"/>
      <c r="T406" s="97"/>
      <c r="U406" s="97"/>
      <c r="V406" s="97"/>
      <c r="W406" s="97"/>
      <c r="X406" s="142"/>
      <c r="Y406" s="142"/>
      <c r="Z406" s="142"/>
    </row>
    <row r="407">
      <c r="A407" s="104"/>
      <c r="B407" s="121"/>
      <c r="C407" s="132">
        <f t="shared" si="142"/>
        <v>45952</v>
      </c>
      <c r="D407" s="133"/>
      <c r="E407" s="121"/>
      <c r="F407" s="134" t="str">
        <f t="shared" si="143"/>
        <v/>
      </c>
      <c r="G407" s="134"/>
      <c r="H407" s="121"/>
      <c r="I407" s="133">
        <f t="shared" si="141"/>
        <v>0</v>
      </c>
      <c r="J407" s="133"/>
      <c r="K407" s="133"/>
      <c r="L407" s="133"/>
      <c r="M407" s="121"/>
      <c r="N407" s="134"/>
      <c r="O407" s="133"/>
      <c r="P407" s="133"/>
      <c r="Q407" s="97"/>
      <c r="R407" s="97"/>
      <c r="S407" s="97"/>
      <c r="T407" s="97"/>
      <c r="U407" s="97"/>
      <c r="V407" s="97"/>
      <c r="W407" s="97"/>
      <c r="X407" s="142"/>
      <c r="Y407" s="142"/>
      <c r="Z407" s="142"/>
    </row>
    <row r="408">
      <c r="A408" s="104"/>
      <c r="B408" s="121"/>
      <c r="C408" s="132">
        <f t="shared" si="142"/>
        <v>45953</v>
      </c>
      <c r="D408" s="133"/>
      <c r="E408" s="121"/>
      <c r="F408" s="134" t="str">
        <f t="shared" si="143"/>
        <v/>
      </c>
      <c r="G408" s="134"/>
      <c r="H408" s="121"/>
      <c r="I408" s="133">
        <f t="shared" si="141"/>
        <v>0</v>
      </c>
      <c r="J408" s="134"/>
      <c r="K408" s="134"/>
      <c r="L408" s="134"/>
      <c r="M408" s="121"/>
      <c r="N408" s="134"/>
      <c r="O408" s="133"/>
      <c r="P408" s="134"/>
      <c r="Q408" s="97"/>
      <c r="R408" s="97"/>
      <c r="S408" s="97"/>
      <c r="T408" s="97"/>
      <c r="U408" s="97"/>
      <c r="V408" s="97"/>
      <c r="W408" s="97"/>
      <c r="X408" s="142"/>
      <c r="Y408" s="142"/>
      <c r="Z408" s="142"/>
    </row>
    <row r="409">
      <c r="A409" s="104"/>
      <c r="B409" s="121"/>
      <c r="C409" s="132">
        <f t="shared" si="142"/>
        <v>45954</v>
      </c>
      <c r="D409" s="133"/>
      <c r="E409" s="121"/>
      <c r="F409" s="134" t="str">
        <f t="shared" si="143"/>
        <v/>
      </c>
      <c r="G409" s="134"/>
      <c r="H409" s="121"/>
      <c r="I409" s="133">
        <f t="shared" si="141"/>
        <v>0</v>
      </c>
      <c r="J409" s="134"/>
      <c r="K409" s="134"/>
      <c r="L409" s="134"/>
      <c r="M409" s="121"/>
      <c r="N409" s="134"/>
      <c r="O409" s="133"/>
      <c r="P409" s="133"/>
      <c r="Q409" s="97"/>
      <c r="R409" s="97"/>
      <c r="S409" s="97"/>
      <c r="T409" s="97"/>
      <c r="U409" s="97"/>
      <c r="V409" s="97"/>
      <c r="W409" s="97"/>
      <c r="X409" s="142"/>
      <c r="Y409" s="142"/>
      <c r="Z409" s="142"/>
    </row>
    <row r="410">
      <c r="A410" s="104"/>
      <c r="B410" s="121"/>
      <c r="C410" s="132">
        <f t="shared" si="142"/>
        <v>45955</v>
      </c>
      <c r="D410" s="133"/>
      <c r="E410" s="121"/>
      <c r="F410" s="134" t="str">
        <f t="shared" si="143"/>
        <v/>
      </c>
      <c r="G410" s="134"/>
      <c r="H410" s="121"/>
      <c r="I410" s="133">
        <f t="shared" si="141"/>
        <v>0</v>
      </c>
      <c r="J410" s="134"/>
      <c r="K410" s="134"/>
      <c r="L410" s="134"/>
      <c r="M410" s="121"/>
      <c r="N410" s="134"/>
      <c r="O410" s="133"/>
      <c r="P410" s="133"/>
      <c r="Q410" s="97"/>
      <c r="R410" s="97"/>
      <c r="S410" s="97"/>
      <c r="T410" s="97"/>
      <c r="U410" s="97"/>
      <c r="V410" s="97"/>
      <c r="W410" s="97"/>
      <c r="X410" s="142"/>
      <c r="Y410" s="142"/>
      <c r="Z410" s="142"/>
    </row>
    <row r="411">
      <c r="A411" s="104"/>
      <c r="B411" s="121"/>
      <c r="C411" s="135">
        <f t="shared" si="142"/>
        <v>45956</v>
      </c>
      <c r="D411" s="136"/>
      <c r="E411" s="121"/>
      <c r="F411" s="137" t="str">
        <f t="shared" si="143"/>
        <v/>
      </c>
      <c r="G411" s="137"/>
      <c r="H411" s="121"/>
      <c r="I411" s="136">
        <f t="shared" si="141"/>
        <v>0</v>
      </c>
      <c r="J411" s="137"/>
      <c r="K411" s="137"/>
      <c r="L411" s="137"/>
      <c r="M411" s="121"/>
      <c r="N411" s="137"/>
      <c r="O411" s="136"/>
      <c r="P411" s="137"/>
      <c r="Q411" s="97"/>
      <c r="R411" s="97"/>
      <c r="S411" s="97"/>
      <c r="T411" s="97"/>
      <c r="U411" s="97"/>
      <c r="V411" s="97"/>
      <c r="W411" s="97"/>
      <c r="X411" s="142"/>
      <c r="Y411" s="142"/>
      <c r="Z411" s="142"/>
    </row>
    <row r="412">
      <c r="A412" s="104"/>
      <c r="B412" s="138"/>
      <c r="C412" s="112" t="s">
        <v>51</v>
      </c>
      <c r="D412" s="116">
        <f>IFERROR(ROUND(AVERAGE(D405:D411),1),0)</f>
        <v>0</v>
      </c>
      <c r="E412" s="138"/>
      <c r="F412" s="115" t="s">
        <v>52</v>
      </c>
      <c r="G412" s="11"/>
      <c r="H412" s="138"/>
      <c r="I412" s="116">
        <f>IFERROR(ROUND(AVERAGEIF(I405:I411,"&lt;&gt;0"),0),0)</f>
        <v>0</v>
      </c>
      <c r="J412" s="116">
        <f t="shared" ref="J412:L412" si="144">IFERROR(ROUND(AVERAGE(J405:J411),0),0)</f>
        <v>0</v>
      </c>
      <c r="K412" s="116">
        <f t="shared" si="144"/>
        <v>0</v>
      </c>
      <c r="L412" s="116">
        <f t="shared" si="144"/>
        <v>0</v>
      </c>
      <c r="M412" s="138"/>
      <c r="N412" s="116">
        <f>IFERROR(ROUND(AVERAGE(N405:N411),0),0)</f>
        <v>0</v>
      </c>
      <c r="O412" s="116">
        <f>IFERROR(SUM(O405:O411),0)</f>
        <v>0</v>
      </c>
      <c r="P412" s="116">
        <f>IFERROR(COUNTA(P405:P411),0)</f>
        <v>0</v>
      </c>
      <c r="Q412" s="97"/>
      <c r="R412" s="97"/>
      <c r="S412" s="97"/>
      <c r="T412" s="97"/>
      <c r="U412" s="97"/>
      <c r="V412" s="97"/>
      <c r="W412" s="97"/>
      <c r="X412" s="142"/>
      <c r="Y412" s="142"/>
      <c r="Z412" s="142"/>
    </row>
    <row r="413">
      <c r="A413" s="97"/>
      <c r="B413" s="109"/>
      <c r="C413" s="97"/>
      <c r="D413" s="98"/>
      <c r="E413" s="140"/>
      <c r="F413" s="140"/>
      <c r="G413" s="140"/>
      <c r="H413" s="140"/>
      <c r="I413" s="140"/>
      <c r="J413" s="140"/>
      <c r="K413" s="140"/>
      <c r="L413" s="140"/>
      <c r="M413" s="140"/>
      <c r="N413" s="98"/>
      <c r="O413" s="98"/>
      <c r="P413" s="98"/>
      <c r="Q413" s="97"/>
      <c r="R413" s="97"/>
      <c r="S413" s="97"/>
      <c r="T413" s="97"/>
      <c r="U413" s="97"/>
      <c r="V413" s="97"/>
      <c r="W413" s="97"/>
      <c r="X413" s="142"/>
      <c r="Y413" s="142"/>
      <c r="Z413" s="142"/>
    </row>
    <row r="414">
      <c r="A414" s="97"/>
      <c r="B414" s="112" t="s">
        <v>30</v>
      </c>
      <c r="C414" s="112" t="s">
        <v>31</v>
      </c>
      <c r="D414" s="113" t="s">
        <v>344</v>
      </c>
      <c r="E414" s="114" t="s">
        <v>33</v>
      </c>
      <c r="F414" s="115" t="s">
        <v>345</v>
      </c>
      <c r="G414" s="11"/>
      <c r="H414" s="114" t="s">
        <v>35</v>
      </c>
      <c r="I414" s="113" t="s">
        <v>346</v>
      </c>
      <c r="J414" s="113" t="s">
        <v>347</v>
      </c>
      <c r="K414" s="113" t="s">
        <v>348</v>
      </c>
      <c r="L414" s="113" t="s">
        <v>349</v>
      </c>
      <c r="M414" s="114" t="s">
        <v>40</v>
      </c>
      <c r="N414" s="113" t="s">
        <v>25</v>
      </c>
      <c r="O414" s="116" t="s">
        <v>350</v>
      </c>
      <c r="P414" s="113" t="s">
        <v>351</v>
      </c>
      <c r="Q414" s="97"/>
      <c r="R414" s="97"/>
      <c r="S414" s="97"/>
      <c r="T414" s="97"/>
      <c r="U414" s="97"/>
      <c r="V414" s="97"/>
      <c r="W414" s="97"/>
      <c r="X414" s="142"/>
      <c r="Y414" s="142"/>
      <c r="Z414" s="142"/>
    </row>
    <row r="415">
      <c r="A415" s="104"/>
      <c r="B415" s="118">
        <f>B404+1</f>
        <v>38</v>
      </c>
      <c r="C415" s="119" t="s">
        <v>43</v>
      </c>
      <c r="D415" s="120" t="s">
        <v>44</v>
      </c>
      <c r="E415" s="121"/>
      <c r="F415" s="122" t="s">
        <v>45</v>
      </c>
      <c r="G415" s="11"/>
      <c r="H415" s="121"/>
      <c r="I415" s="123" t="s">
        <v>46</v>
      </c>
      <c r="J415" s="10"/>
      <c r="K415" s="10"/>
      <c r="L415" s="11"/>
      <c r="M415" s="121"/>
      <c r="N415" s="119"/>
      <c r="O415" s="119"/>
      <c r="P415" s="120"/>
      <c r="Q415" s="141"/>
      <c r="R415" s="141"/>
      <c r="S415" s="141"/>
      <c r="T415" s="141"/>
      <c r="U415" s="141"/>
      <c r="V415" s="141"/>
      <c r="W415" s="141"/>
      <c r="X415" s="142"/>
      <c r="Y415" s="142"/>
      <c r="Z415" s="142"/>
    </row>
    <row r="416">
      <c r="A416" s="104"/>
      <c r="B416" s="121"/>
      <c r="C416" s="126">
        <f>IF(ISBLANK($C$9),"",C411+1)</f>
        <v>45957</v>
      </c>
      <c r="D416" s="127"/>
      <c r="E416" s="121"/>
      <c r="F416" s="127" t="str">
        <f>IF(ISNUMBER(F411),F411+1,"")</f>
        <v/>
      </c>
      <c r="G416" s="128"/>
      <c r="H416" s="121"/>
      <c r="I416" s="127">
        <f t="shared" ref="I416:I422" si="145">J416*4+K416*4+L416*9</f>
        <v>0</v>
      </c>
      <c r="J416" s="127"/>
      <c r="K416" s="127"/>
      <c r="L416" s="127"/>
      <c r="M416" s="121"/>
      <c r="N416" s="128"/>
      <c r="O416" s="127"/>
      <c r="P416" s="127"/>
      <c r="Q416" s="97"/>
      <c r="R416" s="97"/>
      <c r="S416" s="97"/>
      <c r="T416" s="97"/>
      <c r="U416" s="97"/>
      <c r="V416" s="97"/>
      <c r="W416" s="97"/>
      <c r="X416" s="142"/>
      <c r="Y416" s="142"/>
      <c r="Z416" s="142"/>
    </row>
    <row r="417">
      <c r="A417" s="104"/>
      <c r="B417" s="121"/>
      <c r="C417" s="132">
        <f t="shared" ref="C417:C422" si="146">IF(ISBLANK($C$9),"",C416+1)</f>
        <v>45958</v>
      </c>
      <c r="D417" s="133"/>
      <c r="E417" s="121"/>
      <c r="F417" s="134" t="str">
        <f t="shared" ref="F417:F422" si="147">IF(ISNUMBER(F416),F416+1,"")</f>
        <v/>
      </c>
      <c r="G417" s="134"/>
      <c r="H417" s="121"/>
      <c r="I417" s="133">
        <f t="shared" si="145"/>
        <v>0</v>
      </c>
      <c r="J417" s="133"/>
      <c r="K417" s="133"/>
      <c r="L417" s="133"/>
      <c r="M417" s="121"/>
      <c r="N417" s="134"/>
      <c r="O417" s="133"/>
      <c r="P417" s="133"/>
      <c r="Q417" s="97"/>
      <c r="R417" s="97"/>
      <c r="S417" s="97"/>
      <c r="T417" s="97"/>
      <c r="U417" s="97"/>
      <c r="V417" s="97"/>
      <c r="W417" s="97"/>
      <c r="X417" s="142"/>
      <c r="Y417" s="142"/>
      <c r="Z417" s="142"/>
    </row>
    <row r="418">
      <c r="A418" s="104"/>
      <c r="B418" s="121"/>
      <c r="C418" s="132">
        <f t="shared" si="146"/>
        <v>45959</v>
      </c>
      <c r="D418" s="133"/>
      <c r="E418" s="121"/>
      <c r="F418" s="134" t="str">
        <f t="shared" si="147"/>
        <v/>
      </c>
      <c r="G418" s="134"/>
      <c r="H418" s="121"/>
      <c r="I418" s="133">
        <f t="shared" si="145"/>
        <v>0</v>
      </c>
      <c r="J418" s="133"/>
      <c r="K418" s="133"/>
      <c r="L418" s="133"/>
      <c r="M418" s="121"/>
      <c r="N418" s="134"/>
      <c r="O418" s="133"/>
      <c r="P418" s="133"/>
      <c r="Q418" s="97"/>
      <c r="R418" s="97"/>
      <c r="S418" s="97"/>
      <c r="T418" s="97"/>
      <c r="U418" s="97"/>
      <c r="V418" s="97"/>
      <c r="W418" s="97"/>
      <c r="X418" s="142"/>
      <c r="Y418" s="142"/>
      <c r="Z418" s="142"/>
    </row>
    <row r="419">
      <c r="A419" s="104"/>
      <c r="B419" s="121"/>
      <c r="C419" s="132">
        <f t="shared" si="146"/>
        <v>45960</v>
      </c>
      <c r="D419" s="133"/>
      <c r="E419" s="121"/>
      <c r="F419" s="134" t="str">
        <f t="shared" si="147"/>
        <v/>
      </c>
      <c r="G419" s="134"/>
      <c r="H419" s="121"/>
      <c r="I419" s="133">
        <f t="shared" si="145"/>
        <v>0</v>
      </c>
      <c r="J419" s="134"/>
      <c r="K419" s="134"/>
      <c r="L419" s="134"/>
      <c r="M419" s="121"/>
      <c r="N419" s="134"/>
      <c r="O419" s="133"/>
      <c r="P419" s="134"/>
      <c r="Q419" s="97"/>
      <c r="R419" s="97"/>
      <c r="S419" s="97"/>
      <c r="T419" s="97"/>
      <c r="U419" s="97"/>
      <c r="V419" s="97"/>
      <c r="W419" s="97"/>
      <c r="X419" s="142"/>
      <c r="Y419" s="142"/>
      <c r="Z419" s="142"/>
    </row>
    <row r="420">
      <c r="A420" s="104"/>
      <c r="B420" s="121"/>
      <c r="C420" s="132">
        <f t="shared" si="146"/>
        <v>45961</v>
      </c>
      <c r="D420" s="133"/>
      <c r="E420" s="121"/>
      <c r="F420" s="134" t="str">
        <f t="shared" si="147"/>
        <v/>
      </c>
      <c r="G420" s="134"/>
      <c r="H420" s="121"/>
      <c r="I420" s="133">
        <f t="shared" si="145"/>
        <v>0</v>
      </c>
      <c r="J420" s="134"/>
      <c r="K420" s="134"/>
      <c r="L420" s="134"/>
      <c r="M420" s="121"/>
      <c r="N420" s="134"/>
      <c r="O420" s="133"/>
      <c r="P420" s="133"/>
      <c r="Q420" s="97"/>
      <c r="R420" s="97"/>
      <c r="S420" s="97"/>
      <c r="T420" s="97"/>
      <c r="U420" s="97"/>
      <c r="V420" s="97"/>
      <c r="W420" s="97"/>
      <c r="X420" s="142"/>
      <c r="Y420" s="142"/>
      <c r="Z420" s="142"/>
    </row>
    <row r="421">
      <c r="A421" s="104"/>
      <c r="B421" s="121"/>
      <c r="C421" s="132">
        <f t="shared" si="146"/>
        <v>45962</v>
      </c>
      <c r="D421" s="133"/>
      <c r="E421" s="121"/>
      <c r="F421" s="134" t="str">
        <f t="shared" si="147"/>
        <v/>
      </c>
      <c r="G421" s="134"/>
      <c r="H421" s="121"/>
      <c r="I421" s="133">
        <f t="shared" si="145"/>
        <v>0</v>
      </c>
      <c r="J421" s="134"/>
      <c r="K421" s="134"/>
      <c r="L421" s="134"/>
      <c r="M421" s="121"/>
      <c r="N421" s="134"/>
      <c r="O421" s="133"/>
      <c r="P421" s="133"/>
      <c r="Q421" s="97"/>
      <c r="R421" s="97"/>
      <c r="S421" s="97"/>
      <c r="T421" s="97"/>
      <c r="U421" s="97"/>
      <c r="V421" s="97"/>
      <c r="W421" s="97"/>
      <c r="X421" s="142"/>
      <c r="Y421" s="142"/>
      <c r="Z421" s="142"/>
    </row>
    <row r="422">
      <c r="A422" s="104"/>
      <c r="B422" s="121"/>
      <c r="C422" s="135">
        <f t="shared" si="146"/>
        <v>45963</v>
      </c>
      <c r="D422" s="136"/>
      <c r="E422" s="121"/>
      <c r="F422" s="137" t="str">
        <f t="shared" si="147"/>
        <v/>
      </c>
      <c r="G422" s="137"/>
      <c r="H422" s="121"/>
      <c r="I422" s="136">
        <f t="shared" si="145"/>
        <v>0</v>
      </c>
      <c r="J422" s="137"/>
      <c r="K422" s="137"/>
      <c r="L422" s="137"/>
      <c r="M422" s="121"/>
      <c r="N422" s="137"/>
      <c r="O422" s="136"/>
      <c r="P422" s="137"/>
      <c r="Q422" s="97"/>
      <c r="R422" s="97"/>
      <c r="S422" s="97"/>
      <c r="T422" s="97"/>
      <c r="U422" s="97"/>
      <c r="V422" s="97"/>
      <c r="W422" s="97"/>
      <c r="X422" s="142"/>
      <c r="Y422" s="142"/>
      <c r="Z422" s="142"/>
    </row>
    <row r="423">
      <c r="A423" s="104"/>
      <c r="B423" s="138"/>
      <c r="C423" s="112" t="s">
        <v>51</v>
      </c>
      <c r="D423" s="116">
        <f>IFERROR(ROUND(AVERAGE(D416:D422),1),0)</f>
        <v>0</v>
      </c>
      <c r="E423" s="138"/>
      <c r="F423" s="115" t="s">
        <v>52</v>
      </c>
      <c r="G423" s="11"/>
      <c r="H423" s="138"/>
      <c r="I423" s="116">
        <f>IFERROR(ROUND(AVERAGEIF(I416:I422,"&lt;&gt;0"),0),0)</f>
        <v>0</v>
      </c>
      <c r="J423" s="116">
        <f t="shared" ref="J423:L423" si="148">IFERROR(ROUND(AVERAGE(J416:J422),0),0)</f>
        <v>0</v>
      </c>
      <c r="K423" s="116">
        <f t="shared" si="148"/>
        <v>0</v>
      </c>
      <c r="L423" s="116">
        <f t="shared" si="148"/>
        <v>0</v>
      </c>
      <c r="M423" s="138"/>
      <c r="N423" s="116">
        <f>IFERROR(ROUND(AVERAGE(N416:N422),0),0)</f>
        <v>0</v>
      </c>
      <c r="O423" s="116">
        <f>IFERROR(SUM(O416:O422),0)</f>
        <v>0</v>
      </c>
      <c r="P423" s="116">
        <f>IFERROR(COUNTA(P416:P422),0)</f>
        <v>0</v>
      </c>
      <c r="Q423" s="97"/>
      <c r="R423" s="97"/>
      <c r="S423" s="97"/>
      <c r="T423" s="97"/>
      <c r="U423" s="97"/>
      <c r="V423" s="97"/>
      <c r="W423" s="97"/>
      <c r="X423" s="142"/>
      <c r="Y423" s="142"/>
      <c r="Z423" s="142"/>
    </row>
    <row r="424">
      <c r="A424" s="97"/>
      <c r="B424" s="109"/>
      <c r="C424" s="97"/>
      <c r="D424" s="98"/>
      <c r="E424" s="140"/>
      <c r="F424" s="140"/>
      <c r="G424" s="140"/>
      <c r="H424" s="140"/>
      <c r="I424" s="140"/>
      <c r="J424" s="140"/>
      <c r="K424" s="140"/>
      <c r="L424" s="140"/>
      <c r="M424" s="140"/>
      <c r="N424" s="98"/>
      <c r="O424" s="98"/>
      <c r="P424" s="98"/>
      <c r="Q424" s="97"/>
      <c r="R424" s="97"/>
      <c r="S424" s="97"/>
      <c r="T424" s="97"/>
      <c r="U424" s="97"/>
      <c r="V424" s="97"/>
      <c r="W424" s="97"/>
      <c r="X424" s="142"/>
      <c r="Y424" s="142"/>
      <c r="Z424" s="142"/>
    </row>
    <row r="425">
      <c r="A425" s="97"/>
      <c r="B425" s="112" t="s">
        <v>30</v>
      </c>
      <c r="C425" s="112" t="s">
        <v>31</v>
      </c>
      <c r="D425" s="113" t="s">
        <v>352</v>
      </c>
      <c r="E425" s="114" t="s">
        <v>33</v>
      </c>
      <c r="F425" s="115" t="s">
        <v>353</v>
      </c>
      <c r="G425" s="11"/>
      <c r="H425" s="114" t="s">
        <v>35</v>
      </c>
      <c r="I425" s="113" t="s">
        <v>354</v>
      </c>
      <c r="J425" s="113" t="s">
        <v>355</v>
      </c>
      <c r="K425" s="113" t="s">
        <v>356</v>
      </c>
      <c r="L425" s="113" t="s">
        <v>357</v>
      </c>
      <c r="M425" s="114" t="s">
        <v>40</v>
      </c>
      <c r="N425" s="113" t="s">
        <v>25</v>
      </c>
      <c r="O425" s="116" t="s">
        <v>358</v>
      </c>
      <c r="P425" s="113" t="s">
        <v>359</v>
      </c>
      <c r="Q425" s="97"/>
      <c r="R425" s="97"/>
      <c r="S425" s="97"/>
      <c r="T425" s="97"/>
      <c r="U425" s="97"/>
      <c r="V425" s="97"/>
      <c r="W425" s="97"/>
      <c r="X425" s="142"/>
      <c r="Y425" s="142"/>
      <c r="Z425" s="142"/>
    </row>
    <row r="426">
      <c r="A426" s="104"/>
      <c r="B426" s="118">
        <f>B415+1</f>
        <v>39</v>
      </c>
      <c r="C426" s="119" t="s">
        <v>43</v>
      </c>
      <c r="D426" s="120" t="s">
        <v>44</v>
      </c>
      <c r="E426" s="121"/>
      <c r="F426" s="122" t="s">
        <v>45</v>
      </c>
      <c r="G426" s="11"/>
      <c r="H426" s="121"/>
      <c r="I426" s="123" t="s">
        <v>46</v>
      </c>
      <c r="J426" s="10"/>
      <c r="K426" s="10"/>
      <c r="L426" s="11"/>
      <c r="M426" s="121"/>
      <c r="N426" s="119"/>
      <c r="O426" s="119"/>
      <c r="P426" s="120"/>
      <c r="Q426" s="141"/>
      <c r="R426" s="141"/>
      <c r="S426" s="141"/>
      <c r="T426" s="141"/>
      <c r="U426" s="141"/>
      <c r="V426" s="141"/>
      <c r="W426" s="141"/>
      <c r="X426" s="142"/>
      <c r="Y426" s="142"/>
      <c r="Z426" s="142"/>
    </row>
    <row r="427">
      <c r="A427" s="104"/>
      <c r="B427" s="121"/>
      <c r="C427" s="126">
        <f>IF(ISBLANK($C$9),"",C422+1)</f>
        <v>45964</v>
      </c>
      <c r="D427" s="127"/>
      <c r="E427" s="121"/>
      <c r="F427" s="127" t="str">
        <f>IF(ISNUMBER(F422),F422+1,"")</f>
        <v/>
      </c>
      <c r="G427" s="128"/>
      <c r="H427" s="121"/>
      <c r="I427" s="127">
        <f t="shared" ref="I427:I433" si="149">J427*4+K427*4+L427*9</f>
        <v>0</v>
      </c>
      <c r="J427" s="127"/>
      <c r="K427" s="127"/>
      <c r="L427" s="127"/>
      <c r="M427" s="121"/>
      <c r="N427" s="128"/>
      <c r="O427" s="127"/>
      <c r="P427" s="127"/>
      <c r="Q427" s="97"/>
      <c r="R427" s="97"/>
      <c r="S427" s="97"/>
      <c r="T427" s="97"/>
      <c r="U427" s="97"/>
      <c r="V427" s="97"/>
      <c r="W427" s="97"/>
      <c r="X427" s="142"/>
      <c r="Y427" s="142"/>
      <c r="Z427" s="142"/>
    </row>
    <row r="428">
      <c r="A428" s="104"/>
      <c r="B428" s="121"/>
      <c r="C428" s="132">
        <f t="shared" ref="C428:C433" si="150">IF(ISBLANK($C$9),"",C427+1)</f>
        <v>45965</v>
      </c>
      <c r="D428" s="133"/>
      <c r="E428" s="121"/>
      <c r="F428" s="134" t="str">
        <f t="shared" ref="F428:F433" si="151">IF(ISNUMBER(F427),F427+1,"")</f>
        <v/>
      </c>
      <c r="G428" s="134"/>
      <c r="H428" s="121"/>
      <c r="I428" s="133">
        <f t="shared" si="149"/>
        <v>0</v>
      </c>
      <c r="J428" s="133"/>
      <c r="K428" s="133"/>
      <c r="L428" s="133"/>
      <c r="M428" s="121"/>
      <c r="N428" s="134"/>
      <c r="O428" s="133"/>
      <c r="P428" s="133"/>
      <c r="Q428" s="97"/>
      <c r="R428" s="97"/>
      <c r="S428" s="97"/>
      <c r="T428" s="97"/>
      <c r="U428" s="97"/>
      <c r="V428" s="97"/>
      <c r="W428" s="97"/>
      <c r="X428" s="142"/>
      <c r="Y428" s="142"/>
      <c r="Z428" s="142"/>
    </row>
    <row r="429">
      <c r="A429" s="104"/>
      <c r="B429" s="121"/>
      <c r="C429" s="132">
        <f t="shared" si="150"/>
        <v>45966</v>
      </c>
      <c r="D429" s="133"/>
      <c r="E429" s="121"/>
      <c r="F429" s="134" t="str">
        <f t="shared" si="151"/>
        <v/>
      </c>
      <c r="G429" s="134"/>
      <c r="H429" s="121"/>
      <c r="I429" s="133">
        <f t="shared" si="149"/>
        <v>0</v>
      </c>
      <c r="J429" s="133"/>
      <c r="K429" s="133"/>
      <c r="L429" s="133"/>
      <c r="M429" s="121"/>
      <c r="N429" s="134"/>
      <c r="O429" s="133"/>
      <c r="P429" s="133"/>
      <c r="Q429" s="97"/>
      <c r="R429" s="97"/>
      <c r="S429" s="97"/>
      <c r="T429" s="97"/>
      <c r="U429" s="97"/>
      <c r="V429" s="97"/>
      <c r="W429" s="97"/>
      <c r="X429" s="142"/>
      <c r="Y429" s="142"/>
      <c r="Z429" s="142"/>
    </row>
    <row r="430">
      <c r="A430" s="104"/>
      <c r="B430" s="121"/>
      <c r="C430" s="132">
        <f t="shared" si="150"/>
        <v>45967</v>
      </c>
      <c r="D430" s="133"/>
      <c r="E430" s="121"/>
      <c r="F430" s="134" t="str">
        <f t="shared" si="151"/>
        <v/>
      </c>
      <c r="G430" s="134"/>
      <c r="H430" s="121"/>
      <c r="I430" s="133">
        <f t="shared" si="149"/>
        <v>0</v>
      </c>
      <c r="J430" s="134"/>
      <c r="K430" s="134"/>
      <c r="L430" s="134"/>
      <c r="M430" s="121"/>
      <c r="N430" s="134"/>
      <c r="O430" s="133"/>
      <c r="P430" s="134"/>
      <c r="Q430" s="97"/>
      <c r="R430" s="97"/>
      <c r="S430" s="97"/>
      <c r="T430" s="97"/>
      <c r="U430" s="97"/>
      <c r="V430" s="97"/>
      <c r="W430" s="97"/>
      <c r="X430" s="142"/>
      <c r="Y430" s="142"/>
      <c r="Z430" s="142"/>
    </row>
    <row r="431">
      <c r="A431" s="104"/>
      <c r="B431" s="121"/>
      <c r="C431" s="132">
        <f t="shared" si="150"/>
        <v>45968</v>
      </c>
      <c r="D431" s="133"/>
      <c r="E431" s="121"/>
      <c r="F431" s="134" t="str">
        <f t="shared" si="151"/>
        <v/>
      </c>
      <c r="G431" s="134"/>
      <c r="H431" s="121"/>
      <c r="I431" s="133">
        <f t="shared" si="149"/>
        <v>0</v>
      </c>
      <c r="J431" s="134"/>
      <c r="K431" s="134"/>
      <c r="L431" s="134"/>
      <c r="M431" s="121"/>
      <c r="N431" s="134"/>
      <c r="O431" s="133"/>
      <c r="P431" s="133"/>
      <c r="Q431" s="97"/>
      <c r="R431" s="97"/>
      <c r="S431" s="97"/>
      <c r="T431" s="97"/>
      <c r="U431" s="97"/>
      <c r="V431" s="97"/>
      <c r="W431" s="97"/>
      <c r="X431" s="142"/>
      <c r="Y431" s="142"/>
      <c r="Z431" s="142"/>
    </row>
    <row r="432">
      <c r="A432" s="104"/>
      <c r="B432" s="121"/>
      <c r="C432" s="132">
        <f t="shared" si="150"/>
        <v>45969</v>
      </c>
      <c r="D432" s="133"/>
      <c r="E432" s="121"/>
      <c r="F432" s="134" t="str">
        <f t="shared" si="151"/>
        <v/>
      </c>
      <c r="G432" s="134"/>
      <c r="H432" s="121"/>
      <c r="I432" s="133">
        <f t="shared" si="149"/>
        <v>0</v>
      </c>
      <c r="J432" s="134"/>
      <c r="K432" s="134"/>
      <c r="L432" s="134"/>
      <c r="M432" s="121"/>
      <c r="N432" s="134"/>
      <c r="O432" s="133"/>
      <c r="P432" s="133"/>
      <c r="Q432" s="97"/>
      <c r="R432" s="97"/>
      <c r="S432" s="97"/>
      <c r="T432" s="97"/>
      <c r="U432" s="97"/>
      <c r="V432" s="97"/>
      <c r="W432" s="97"/>
      <c r="X432" s="142"/>
      <c r="Y432" s="142"/>
      <c r="Z432" s="142"/>
    </row>
    <row r="433">
      <c r="A433" s="104"/>
      <c r="B433" s="121"/>
      <c r="C433" s="135">
        <f t="shared" si="150"/>
        <v>45970</v>
      </c>
      <c r="D433" s="136"/>
      <c r="E433" s="121"/>
      <c r="F433" s="137" t="str">
        <f t="shared" si="151"/>
        <v/>
      </c>
      <c r="G433" s="137"/>
      <c r="H433" s="121"/>
      <c r="I433" s="136">
        <f t="shared" si="149"/>
        <v>0</v>
      </c>
      <c r="J433" s="137"/>
      <c r="K433" s="137"/>
      <c r="L433" s="137"/>
      <c r="M433" s="121"/>
      <c r="N433" s="137"/>
      <c r="O433" s="136"/>
      <c r="P433" s="137"/>
      <c r="Q433" s="97"/>
      <c r="R433" s="97"/>
      <c r="S433" s="97"/>
      <c r="T433" s="97"/>
      <c r="U433" s="97"/>
      <c r="V433" s="97"/>
      <c r="W433" s="97"/>
      <c r="X433" s="142"/>
      <c r="Y433" s="142"/>
      <c r="Z433" s="142"/>
    </row>
    <row r="434">
      <c r="A434" s="104"/>
      <c r="B434" s="138"/>
      <c r="C434" s="112" t="s">
        <v>51</v>
      </c>
      <c r="D434" s="116">
        <f>IFERROR(ROUND(AVERAGE(D427:D433),1),0)</f>
        <v>0</v>
      </c>
      <c r="E434" s="138"/>
      <c r="F434" s="115" t="s">
        <v>52</v>
      </c>
      <c r="G434" s="11"/>
      <c r="H434" s="138"/>
      <c r="I434" s="116">
        <f>IFERROR(ROUND(AVERAGEIF(I427:I433,"&lt;&gt;0"),0),0)</f>
        <v>0</v>
      </c>
      <c r="J434" s="116">
        <f t="shared" ref="J434:L434" si="152">IFERROR(ROUND(AVERAGE(J427:J433),0),0)</f>
        <v>0</v>
      </c>
      <c r="K434" s="116">
        <f t="shared" si="152"/>
        <v>0</v>
      </c>
      <c r="L434" s="116">
        <f t="shared" si="152"/>
        <v>0</v>
      </c>
      <c r="M434" s="138"/>
      <c r="N434" s="116">
        <f>IFERROR(ROUND(AVERAGE(N427:N433),0),0)</f>
        <v>0</v>
      </c>
      <c r="O434" s="116">
        <f>IFERROR(SUM(O427:O433),0)</f>
        <v>0</v>
      </c>
      <c r="P434" s="116">
        <f>IFERROR(COUNTA(P427:P433),0)</f>
        <v>0</v>
      </c>
      <c r="Q434" s="97"/>
      <c r="R434" s="97"/>
      <c r="S434" s="97"/>
      <c r="T434" s="97"/>
      <c r="U434" s="97"/>
      <c r="V434" s="97"/>
      <c r="W434" s="97"/>
      <c r="X434" s="142"/>
      <c r="Y434" s="142"/>
      <c r="Z434" s="142"/>
    </row>
    <row r="435">
      <c r="A435" s="97"/>
      <c r="B435" s="109"/>
      <c r="C435" s="97"/>
      <c r="D435" s="98"/>
      <c r="E435" s="140"/>
      <c r="F435" s="140"/>
      <c r="G435" s="140"/>
      <c r="H435" s="140"/>
      <c r="I435" s="140"/>
      <c r="J435" s="140"/>
      <c r="K435" s="140"/>
      <c r="L435" s="140"/>
      <c r="M435" s="140"/>
      <c r="N435" s="98"/>
      <c r="O435" s="98"/>
      <c r="P435" s="98"/>
      <c r="Q435" s="97"/>
      <c r="R435" s="97"/>
      <c r="S435" s="97"/>
      <c r="T435" s="97"/>
      <c r="U435" s="97"/>
      <c r="V435" s="97"/>
      <c r="W435" s="97"/>
      <c r="X435" s="142"/>
      <c r="Y435" s="142"/>
      <c r="Z435" s="142"/>
    </row>
    <row r="436">
      <c r="A436" s="97"/>
      <c r="B436" s="112" t="s">
        <v>30</v>
      </c>
      <c r="C436" s="112" t="s">
        <v>31</v>
      </c>
      <c r="D436" s="113" t="s">
        <v>360</v>
      </c>
      <c r="E436" s="114" t="s">
        <v>33</v>
      </c>
      <c r="F436" s="115" t="s">
        <v>361</v>
      </c>
      <c r="G436" s="11"/>
      <c r="H436" s="114" t="s">
        <v>35</v>
      </c>
      <c r="I436" s="113" t="s">
        <v>362</v>
      </c>
      <c r="J436" s="113" t="s">
        <v>363</v>
      </c>
      <c r="K436" s="113" t="s">
        <v>364</v>
      </c>
      <c r="L436" s="113" t="s">
        <v>365</v>
      </c>
      <c r="M436" s="114" t="s">
        <v>40</v>
      </c>
      <c r="N436" s="113" t="s">
        <v>25</v>
      </c>
      <c r="O436" s="116" t="s">
        <v>366</v>
      </c>
      <c r="P436" s="113" t="s">
        <v>367</v>
      </c>
      <c r="Q436" s="97"/>
      <c r="R436" s="97"/>
      <c r="S436" s="97"/>
      <c r="T436" s="97"/>
      <c r="U436" s="97"/>
      <c r="V436" s="97"/>
      <c r="W436" s="97"/>
      <c r="X436" s="142"/>
      <c r="Y436" s="142"/>
      <c r="Z436" s="142"/>
    </row>
    <row r="437">
      <c r="A437" s="104"/>
      <c r="B437" s="118">
        <f>B426+1</f>
        <v>40</v>
      </c>
      <c r="C437" s="119" t="s">
        <v>43</v>
      </c>
      <c r="D437" s="120" t="s">
        <v>44</v>
      </c>
      <c r="E437" s="121"/>
      <c r="F437" s="122" t="s">
        <v>45</v>
      </c>
      <c r="G437" s="11"/>
      <c r="H437" s="121"/>
      <c r="I437" s="123" t="s">
        <v>46</v>
      </c>
      <c r="J437" s="10"/>
      <c r="K437" s="10"/>
      <c r="L437" s="11"/>
      <c r="M437" s="121"/>
      <c r="N437" s="119"/>
      <c r="O437" s="119"/>
      <c r="P437" s="120"/>
      <c r="Q437" s="141"/>
      <c r="R437" s="141"/>
      <c r="S437" s="141"/>
      <c r="T437" s="141"/>
      <c r="U437" s="141"/>
      <c r="V437" s="141"/>
      <c r="W437" s="141"/>
      <c r="X437" s="142"/>
      <c r="Y437" s="142"/>
      <c r="Z437" s="142"/>
    </row>
    <row r="438">
      <c r="A438" s="104"/>
      <c r="B438" s="121"/>
      <c r="C438" s="126">
        <f>IF(ISBLANK($C$9),"",C433+1)</f>
        <v>45971</v>
      </c>
      <c r="D438" s="127"/>
      <c r="E438" s="121"/>
      <c r="F438" s="127" t="str">
        <f>IF(ISNUMBER(F433),F433+1,"")</f>
        <v/>
      </c>
      <c r="G438" s="128"/>
      <c r="H438" s="121"/>
      <c r="I438" s="127">
        <f t="shared" ref="I438:I444" si="153">J438*4+K438*4+L438*9</f>
        <v>0</v>
      </c>
      <c r="J438" s="127"/>
      <c r="K438" s="127"/>
      <c r="L438" s="127"/>
      <c r="M438" s="121"/>
      <c r="N438" s="128"/>
      <c r="O438" s="127"/>
      <c r="P438" s="127"/>
      <c r="Q438" s="97"/>
      <c r="R438" s="97"/>
      <c r="S438" s="97"/>
      <c r="T438" s="97"/>
      <c r="U438" s="97"/>
      <c r="V438" s="97"/>
      <c r="W438" s="97"/>
      <c r="X438" s="142"/>
      <c r="Y438" s="142"/>
      <c r="Z438" s="142"/>
    </row>
    <row r="439">
      <c r="A439" s="104"/>
      <c r="B439" s="121"/>
      <c r="C439" s="132">
        <f t="shared" ref="C439:C444" si="154">IF(ISBLANK($C$9),"",C438+1)</f>
        <v>45972</v>
      </c>
      <c r="D439" s="133"/>
      <c r="E439" s="121"/>
      <c r="F439" s="134" t="str">
        <f t="shared" ref="F439:F444" si="155">IF(ISNUMBER(F438),F438+1,"")</f>
        <v/>
      </c>
      <c r="G439" s="134"/>
      <c r="H439" s="121"/>
      <c r="I439" s="133">
        <f t="shared" si="153"/>
        <v>0</v>
      </c>
      <c r="J439" s="133"/>
      <c r="K439" s="133"/>
      <c r="L439" s="133"/>
      <c r="M439" s="121"/>
      <c r="N439" s="134"/>
      <c r="O439" s="133"/>
      <c r="P439" s="133"/>
      <c r="Q439" s="97"/>
      <c r="R439" s="97"/>
      <c r="S439" s="97"/>
      <c r="T439" s="97"/>
      <c r="U439" s="97"/>
      <c r="V439" s="97"/>
      <c r="W439" s="97"/>
      <c r="X439" s="142"/>
      <c r="Y439" s="142"/>
      <c r="Z439" s="142"/>
    </row>
    <row r="440">
      <c r="A440" s="104"/>
      <c r="B440" s="121"/>
      <c r="C440" s="132">
        <f t="shared" si="154"/>
        <v>45973</v>
      </c>
      <c r="D440" s="133"/>
      <c r="E440" s="121"/>
      <c r="F440" s="134" t="str">
        <f t="shared" si="155"/>
        <v/>
      </c>
      <c r="G440" s="134"/>
      <c r="H440" s="121"/>
      <c r="I440" s="133">
        <f t="shared" si="153"/>
        <v>0</v>
      </c>
      <c r="J440" s="133"/>
      <c r="K440" s="133"/>
      <c r="L440" s="133"/>
      <c r="M440" s="121"/>
      <c r="N440" s="134"/>
      <c r="O440" s="133"/>
      <c r="P440" s="133"/>
      <c r="Q440" s="97"/>
      <c r="R440" s="97"/>
      <c r="S440" s="97"/>
      <c r="T440" s="97"/>
      <c r="U440" s="97"/>
      <c r="V440" s="97"/>
      <c r="W440" s="97"/>
      <c r="X440" s="142"/>
      <c r="Y440" s="142"/>
      <c r="Z440" s="142"/>
    </row>
    <row r="441">
      <c r="A441" s="104"/>
      <c r="B441" s="121"/>
      <c r="C441" s="132">
        <f t="shared" si="154"/>
        <v>45974</v>
      </c>
      <c r="D441" s="133"/>
      <c r="E441" s="121"/>
      <c r="F441" s="134" t="str">
        <f t="shared" si="155"/>
        <v/>
      </c>
      <c r="G441" s="134"/>
      <c r="H441" s="121"/>
      <c r="I441" s="133">
        <f t="shared" si="153"/>
        <v>0</v>
      </c>
      <c r="J441" s="134"/>
      <c r="K441" s="134"/>
      <c r="L441" s="134"/>
      <c r="M441" s="121"/>
      <c r="N441" s="134"/>
      <c r="O441" s="133"/>
      <c r="P441" s="134"/>
      <c r="Q441" s="97"/>
      <c r="R441" s="97"/>
      <c r="S441" s="97"/>
      <c r="T441" s="97"/>
      <c r="U441" s="97"/>
      <c r="V441" s="97"/>
      <c r="W441" s="97"/>
      <c r="X441" s="142"/>
      <c r="Y441" s="142"/>
      <c r="Z441" s="142"/>
    </row>
    <row r="442">
      <c r="A442" s="104"/>
      <c r="B442" s="121"/>
      <c r="C442" s="132">
        <f t="shared" si="154"/>
        <v>45975</v>
      </c>
      <c r="D442" s="133"/>
      <c r="E442" s="121"/>
      <c r="F442" s="134" t="str">
        <f t="shared" si="155"/>
        <v/>
      </c>
      <c r="G442" s="134"/>
      <c r="H442" s="121"/>
      <c r="I442" s="133">
        <f t="shared" si="153"/>
        <v>0</v>
      </c>
      <c r="J442" s="134"/>
      <c r="K442" s="134"/>
      <c r="L442" s="134"/>
      <c r="M442" s="121"/>
      <c r="N442" s="134"/>
      <c r="O442" s="133"/>
      <c r="P442" s="133"/>
      <c r="Q442" s="97"/>
      <c r="R442" s="97"/>
      <c r="S442" s="97"/>
      <c r="T442" s="97"/>
      <c r="U442" s="97"/>
      <c r="V442" s="97"/>
      <c r="W442" s="97"/>
      <c r="X442" s="142"/>
      <c r="Y442" s="142"/>
      <c r="Z442" s="142"/>
    </row>
    <row r="443">
      <c r="A443" s="104"/>
      <c r="B443" s="121"/>
      <c r="C443" s="132">
        <f t="shared" si="154"/>
        <v>45976</v>
      </c>
      <c r="D443" s="133"/>
      <c r="E443" s="121"/>
      <c r="F443" s="134" t="str">
        <f t="shared" si="155"/>
        <v/>
      </c>
      <c r="G443" s="134"/>
      <c r="H443" s="121"/>
      <c r="I443" s="133">
        <f t="shared" si="153"/>
        <v>0</v>
      </c>
      <c r="J443" s="134"/>
      <c r="K443" s="134"/>
      <c r="L443" s="134"/>
      <c r="M443" s="121"/>
      <c r="N443" s="134"/>
      <c r="O443" s="133"/>
      <c r="P443" s="133"/>
      <c r="Q443" s="97"/>
      <c r="R443" s="97"/>
      <c r="S443" s="97"/>
      <c r="T443" s="97"/>
      <c r="U443" s="97"/>
      <c r="V443" s="97"/>
      <c r="W443" s="97"/>
      <c r="X443" s="142"/>
      <c r="Y443" s="142"/>
      <c r="Z443" s="142"/>
    </row>
    <row r="444">
      <c r="A444" s="104"/>
      <c r="B444" s="121"/>
      <c r="C444" s="135">
        <f t="shared" si="154"/>
        <v>45977</v>
      </c>
      <c r="D444" s="136"/>
      <c r="E444" s="121"/>
      <c r="F444" s="137" t="str">
        <f t="shared" si="155"/>
        <v/>
      </c>
      <c r="G444" s="137"/>
      <c r="H444" s="121"/>
      <c r="I444" s="136">
        <f t="shared" si="153"/>
        <v>0</v>
      </c>
      <c r="J444" s="137"/>
      <c r="K444" s="137"/>
      <c r="L444" s="137"/>
      <c r="M444" s="121"/>
      <c r="N444" s="137"/>
      <c r="O444" s="136"/>
      <c r="P444" s="137"/>
      <c r="Q444" s="97"/>
      <c r="R444" s="97"/>
      <c r="S444" s="97"/>
      <c r="T444" s="97"/>
      <c r="U444" s="97"/>
      <c r="V444" s="97"/>
      <c r="W444" s="97"/>
      <c r="X444" s="142"/>
      <c r="Y444" s="142"/>
      <c r="Z444" s="142"/>
    </row>
    <row r="445">
      <c r="A445" s="104"/>
      <c r="B445" s="138"/>
      <c r="C445" s="112" t="s">
        <v>51</v>
      </c>
      <c r="D445" s="116">
        <f>IFERROR(ROUND(AVERAGE(D438:D444),1),0)</f>
        <v>0</v>
      </c>
      <c r="E445" s="138"/>
      <c r="F445" s="115" t="s">
        <v>52</v>
      </c>
      <c r="G445" s="11"/>
      <c r="H445" s="138"/>
      <c r="I445" s="116">
        <f>IFERROR(ROUND(AVERAGEIF(I438:I444,"&lt;&gt;0"),0),0)</f>
        <v>0</v>
      </c>
      <c r="J445" s="116">
        <f t="shared" ref="J445:L445" si="156">IFERROR(ROUND(AVERAGE(J438:J444),0),0)</f>
        <v>0</v>
      </c>
      <c r="K445" s="116">
        <f t="shared" si="156"/>
        <v>0</v>
      </c>
      <c r="L445" s="116">
        <f t="shared" si="156"/>
        <v>0</v>
      </c>
      <c r="M445" s="138"/>
      <c r="N445" s="116">
        <f>IFERROR(ROUND(AVERAGE(N438:N444),0),0)</f>
        <v>0</v>
      </c>
      <c r="O445" s="116">
        <f>IFERROR(SUM(O438:O444),0)</f>
        <v>0</v>
      </c>
      <c r="P445" s="116">
        <f>IFERROR(COUNTA(P438:P444),0)</f>
        <v>0</v>
      </c>
      <c r="Q445" s="97"/>
      <c r="R445" s="97"/>
      <c r="S445" s="97"/>
      <c r="T445" s="97"/>
      <c r="U445" s="97"/>
      <c r="V445" s="97"/>
      <c r="W445" s="97"/>
      <c r="X445" s="142"/>
      <c r="Y445" s="142"/>
      <c r="Z445" s="142"/>
    </row>
    <row r="446">
      <c r="A446" s="97"/>
      <c r="B446" s="109"/>
      <c r="C446" s="97"/>
      <c r="D446" s="98"/>
      <c r="E446" s="140"/>
      <c r="F446" s="140"/>
      <c r="G446" s="140"/>
      <c r="H446" s="140"/>
      <c r="I446" s="140"/>
      <c r="J446" s="140"/>
      <c r="K446" s="140"/>
      <c r="L446" s="140"/>
      <c r="M446" s="140"/>
      <c r="N446" s="98"/>
      <c r="O446" s="98"/>
      <c r="P446" s="98"/>
      <c r="Q446" s="97"/>
      <c r="R446" s="97"/>
      <c r="S446" s="97"/>
      <c r="T446" s="97"/>
      <c r="U446" s="97"/>
      <c r="V446" s="97"/>
      <c r="W446" s="97"/>
      <c r="X446" s="142"/>
      <c r="Y446" s="142"/>
      <c r="Z446" s="142"/>
    </row>
    <row r="447">
      <c r="A447" s="97"/>
      <c r="B447" s="112" t="s">
        <v>30</v>
      </c>
      <c r="C447" s="112" t="s">
        <v>31</v>
      </c>
      <c r="D447" s="113" t="s">
        <v>368</v>
      </c>
      <c r="E447" s="114" t="s">
        <v>33</v>
      </c>
      <c r="F447" s="115" t="s">
        <v>369</v>
      </c>
      <c r="G447" s="11"/>
      <c r="H447" s="114" t="s">
        <v>35</v>
      </c>
      <c r="I447" s="113" t="s">
        <v>370</v>
      </c>
      <c r="J447" s="113" t="s">
        <v>371</v>
      </c>
      <c r="K447" s="113" t="s">
        <v>372</v>
      </c>
      <c r="L447" s="113" t="s">
        <v>373</v>
      </c>
      <c r="M447" s="114" t="s">
        <v>40</v>
      </c>
      <c r="N447" s="113" t="s">
        <v>25</v>
      </c>
      <c r="O447" s="116" t="s">
        <v>374</v>
      </c>
      <c r="P447" s="113" t="s">
        <v>375</v>
      </c>
      <c r="Q447" s="97"/>
      <c r="R447" s="97"/>
      <c r="S447" s="97"/>
      <c r="T447" s="97"/>
      <c r="U447" s="97"/>
      <c r="V447" s="97"/>
      <c r="W447" s="97"/>
      <c r="X447" s="142"/>
      <c r="Y447" s="142"/>
      <c r="Z447" s="142"/>
    </row>
    <row r="448">
      <c r="A448" s="104"/>
      <c r="B448" s="118">
        <f>B437+1</f>
        <v>41</v>
      </c>
      <c r="C448" s="119" t="s">
        <v>43</v>
      </c>
      <c r="D448" s="120" t="s">
        <v>44</v>
      </c>
      <c r="E448" s="121"/>
      <c r="F448" s="122" t="s">
        <v>45</v>
      </c>
      <c r="G448" s="11"/>
      <c r="H448" s="121"/>
      <c r="I448" s="123" t="s">
        <v>46</v>
      </c>
      <c r="J448" s="10"/>
      <c r="K448" s="10"/>
      <c r="L448" s="11"/>
      <c r="M448" s="121"/>
      <c r="N448" s="119"/>
      <c r="O448" s="119"/>
      <c r="P448" s="120"/>
      <c r="Q448" s="141"/>
      <c r="R448" s="141"/>
      <c r="S448" s="141"/>
      <c r="T448" s="141"/>
      <c r="U448" s="141"/>
      <c r="V448" s="141"/>
      <c r="W448" s="141"/>
      <c r="X448" s="142"/>
      <c r="Y448" s="142"/>
      <c r="Z448" s="142"/>
    </row>
    <row r="449">
      <c r="A449" s="104"/>
      <c r="B449" s="121"/>
      <c r="C449" s="126">
        <f>IF(ISBLANK($C$9),"",C444+1)</f>
        <v>45978</v>
      </c>
      <c r="D449" s="127"/>
      <c r="E449" s="121"/>
      <c r="F449" s="127" t="str">
        <f>IF(ISNUMBER(F444),F444+1,"")</f>
        <v/>
      </c>
      <c r="G449" s="128"/>
      <c r="H449" s="121"/>
      <c r="I449" s="127">
        <f t="shared" ref="I449:I455" si="157">J449*4+K449*4+L449*9</f>
        <v>0</v>
      </c>
      <c r="J449" s="127"/>
      <c r="K449" s="127"/>
      <c r="L449" s="127"/>
      <c r="M449" s="121"/>
      <c r="N449" s="128"/>
      <c r="O449" s="127"/>
      <c r="P449" s="127"/>
      <c r="Q449" s="97"/>
      <c r="R449" s="97"/>
      <c r="S449" s="97"/>
      <c r="T449" s="97"/>
      <c r="U449" s="97"/>
      <c r="V449" s="97"/>
      <c r="W449" s="97"/>
      <c r="X449" s="142"/>
      <c r="Y449" s="142"/>
      <c r="Z449" s="142"/>
    </row>
    <row r="450">
      <c r="A450" s="104"/>
      <c r="B450" s="121"/>
      <c r="C450" s="132">
        <f t="shared" ref="C450:C455" si="158">IF(ISBLANK($C$9),"",C449+1)</f>
        <v>45979</v>
      </c>
      <c r="D450" s="133"/>
      <c r="E450" s="121"/>
      <c r="F450" s="134" t="str">
        <f t="shared" ref="F450:F455" si="159">IF(ISNUMBER(F449),F449+1,"")</f>
        <v/>
      </c>
      <c r="G450" s="134"/>
      <c r="H450" s="121"/>
      <c r="I450" s="133">
        <f t="shared" si="157"/>
        <v>0</v>
      </c>
      <c r="J450" s="133"/>
      <c r="K450" s="133"/>
      <c r="L450" s="133"/>
      <c r="M450" s="121"/>
      <c r="N450" s="134"/>
      <c r="O450" s="133"/>
      <c r="P450" s="133"/>
      <c r="Q450" s="97"/>
      <c r="R450" s="97"/>
      <c r="S450" s="97"/>
      <c r="T450" s="97"/>
      <c r="U450" s="97"/>
      <c r="V450" s="97"/>
      <c r="W450" s="97"/>
      <c r="X450" s="142"/>
      <c r="Y450" s="142"/>
      <c r="Z450" s="142"/>
    </row>
    <row r="451">
      <c r="A451" s="104"/>
      <c r="B451" s="121"/>
      <c r="C451" s="132">
        <f t="shared" si="158"/>
        <v>45980</v>
      </c>
      <c r="D451" s="133"/>
      <c r="E451" s="121"/>
      <c r="F451" s="134" t="str">
        <f t="shared" si="159"/>
        <v/>
      </c>
      <c r="G451" s="134"/>
      <c r="H451" s="121"/>
      <c r="I451" s="133">
        <f t="shared" si="157"/>
        <v>0</v>
      </c>
      <c r="J451" s="133"/>
      <c r="K451" s="133"/>
      <c r="L451" s="133"/>
      <c r="M451" s="121"/>
      <c r="N451" s="134"/>
      <c r="O451" s="133"/>
      <c r="P451" s="133"/>
      <c r="Q451" s="97"/>
      <c r="R451" s="97"/>
      <c r="S451" s="97"/>
      <c r="T451" s="97"/>
      <c r="U451" s="97"/>
      <c r="V451" s="97"/>
      <c r="W451" s="97"/>
      <c r="X451" s="142"/>
      <c r="Y451" s="142"/>
      <c r="Z451" s="142"/>
    </row>
    <row r="452">
      <c r="A452" s="104"/>
      <c r="B452" s="121"/>
      <c r="C452" s="132">
        <f t="shared" si="158"/>
        <v>45981</v>
      </c>
      <c r="D452" s="133"/>
      <c r="E452" s="121"/>
      <c r="F452" s="134" t="str">
        <f t="shared" si="159"/>
        <v/>
      </c>
      <c r="G452" s="134"/>
      <c r="H452" s="121"/>
      <c r="I452" s="133">
        <f t="shared" si="157"/>
        <v>0</v>
      </c>
      <c r="J452" s="134"/>
      <c r="K452" s="134"/>
      <c r="L452" s="134"/>
      <c r="M452" s="121"/>
      <c r="N452" s="134"/>
      <c r="O452" s="133"/>
      <c r="P452" s="134"/>
      <c r="Q452" s="97"/>
      <c r="R452" s="97"/>
      <c r="S452" s="97"/>
      <c r="T452" s="97"/>
      <c r="U452" s="97"/>
      <c r="V452" s="97"/>
      <c r="W452" s="97"/>
      <c r="X452" s="142"/>
      <c r="Y452" s="142"/>
      <c r="Z452" s="142"/>
    </row>
    <row r="453">
      <c r="A453" s="104"/>
      <c r="B453" s="121"/>
      <c r="C453" s="132">
        <f t="shared" si="158"/>
        <v>45982</v>
      </c>
      <c r="D453" s="133"/>
      <c r="E453" s="121"/>
      <c r="F453" s="134" t="str">
        <f t="shared" si="159"/>
        <v/>
      </c>
      <c r="G453" s="134"/>
      <c r="H453" s="121"/>
      <c r="I453" s="133">
        <f t="shared" si="157"/>
        <v>0</v>
      </c>
      <c r="J453" s="134"/>
      <c r="K453" s="134"/>
      <c r="L453" s="134"/>
      <c r="M453" s="121"/>
      <c r="N453" s="134"/>
      <c r="O453" s="133"/>
      <c r="P453" s="133"/>
      <c r="Q453" s="97"/>
      <c r="R453" s="97"/>
      <c r="S453" s="97"/>
      <c r="T453" s="97"/>
      <c r="U453" s="97"/>
      <c r="V453" s="97"/>
      <c r="W453" s="97"/>
      <c r="X453" s="142"/>
      <c r="Y453" s="142"/>
      <c r="Z453" s="142"/>
    </row>
    <row r="454">
      <c r="A454" s="104"/>
      <c r="B454" s="121"/>
      <c r="C454" s="132">
        <f t="shared" si="158"/>
        <v>45983</v>
      </c>
      <c r="D454" s="133"/>
      <c r="E454" s="121"/>
      <c r="F454" s="134" t="str">
        <f t="shared" si="159"/>
        <v/>
      </c>
      <c r="G454" s="134"/>
      <c r="H454" s="121"/>
      <c r="I454" s="133">
        <f t="shared" si="157"/>
        <v>0</v>
      </c>
      <c r="J454" s="134"/>
      <c r="K454" s="134"/>
      <c r="L454" s="134"/>
      <c r="M454" s="121"/>
      <c r="N454" s="134"/>
      <c r="O454" s="133"/>
      <c r="P454" s="133"/>
      <c r="Q454" s="97"/>
      <c r="R454" s="97"/>
      <c r="S454" s="97"/>
      <c r="T454" s="97"/>
      <c r="U454" s="97"/>
      <c r="V454" s="97"/>
      <c r="W454" s="97"/>
      <c r="X454" s="142"/>
      <c r="Y454" s="142"/>
      <c r="Z454" s="142"/>
    </row>
    <row r="455">
      <c r="A455" s="104"/>
      <c r="B455" s="121"/>
      <c r="C455" s="135">
        <f t="shared" si="158"/>
        <v>45984</v>
      </c>
      <c r="D455" s="136"/>
      <c r="E455" s="121"/>
      <c r="F455" s="137" t="str">
        <f t="shared" si="159"/>
        <v/>
      </c>
      <c r="G455" s="137"/>
      <c r="H455" s="121"/>
      <c r="I455" s="136">
        <f t="shared" si="157"/>
        <v>0</v>
      </c>
      <c r="J455" s="137"/>
      <c r="K455" s="137"/>
      <c r="L455" s="137"/>
      <c r="M455" s="121"/>
      <c r="N455" s="137"/>
      <c r="O455" s="136"/>
      <c r="P455" s="137"/>
      <c r="Q455" s="97"/>
      <c r="R455" s="97"/>
      <c r="S455" s="97"/>
      <c r="T455" s="97"/>
      <c r="U455" s="97"/>
      <c r="V455" s="97"/>
      <c r="W455" s="97"/>
      <c r="X455" s="142"/>
      <c r="Y455" s="142"/>
      <c r="Z455" s="142"/>
    </row>
    <row r="456">
      <c r="A456" s="104"/>
      <c r="B456" s="138"/>
      <c r="C456" s="112" t="s">
        <v>51</v>
      </c>
      <c r="D456" s="116">
        <f>IFERROR(ROUND(AVERAGE(D449:D455),1),0)</f>
        <v>0</v>
      </c>
      <c r="E456" s="138"/>
      <c r="F456" s="115" t="s">
        <v>52</v>
      </c>
      <c r="G456" s="11"/>
      <c r="H456" s="138"/>
      <c r="I456" s="116">
        <f>IFERROR(ROUND(AVERAGEIF(I449:I455,"&lt;&gt;0"),0),0)</f>
        <v>0</v>
      </c>
      <c r="J456" s="116">
        <f t="shared" ref="J456:L456" si="160">IFERROR(ROUND(AVERAGE(J449:J455),0),0)</f>
        <v>0</v>
      </c>
      <c r="K456" s="116">
        <f t="shared" si="160"/>
        <v>0</v>
      </c>
      <c r="L456" s="116">
        <f t="shared" si="160"/>
        <v>0</v>
      </c>
      <c r="M456" s="138"/>
      <c r="N456" s="116">
        <f>IFERROR(ROUND(AVERAGE(N449:N455),0),0)</f>
        <v>0</v>
      </c>
      <c r="O456" s="116">
        <f>IFERROR(SUM(O449:O455),0)</f>
        <v>0</v>
      </c>
      <c r="P456" s="116">
        <f>IFERROR(COUNTA(P449:P455),0)</f>
        <v>0</v>
      </c>
      <c r="Q456" s="97"/>
      <c r="R456" s="97"/>
      <c r="S456" s="97"/>
      <c r="T456" s="97"/>
      <c r="U456" s="97"/>
      <c r="V456" s="97"/>
      <c r="W456" s="97"/>
      <c r="X456" s="142"/>
      <c r="Y456" s="142"/>
      <c r="Z456" s="142"/>
    </row>
    <row r="457">
      <c r="A457" s="97"/>
      <c r="B457" s="109"/>
      <c r="C457" s="97"/>
      <c r="D457" s="98"/>
      <c r="E457" s="140"/>
      <c r="F457" s="140"/>
      <c r="G457" s="140"/>
      <c r="H457" s="140"/>
      <c r="I457" s="140"/>
      <c r="J457" s="140"/>
      <c r="K457" s="140"/>
      <c r="L457" s="140"/>
      <c r="M457" s="140"/>
      <c r="N457" s="98"/>
      <c r="O457" s="98"/>
      <c r="P457" s="98"/>
      <c r="Q457" s="97"/>
      <c r="R457" s="97"/>
      <c r="S457" s="97"/>
      <c r="T457" s="97"/>
      <c r="U457" s="97"/>
      <c r="V457" s="97"/>
      <c r="W457" s="97"/>
      <c r="X457" s="142"/>
      <c r="Y457" s="142"/>
      <c r="Z457" s="142"/>
    </row>
    <row r="458">
      <c r="A458" s="97"/>
      <c r="B458" s="112" t="s">
        <v>30</v>
      </c>
      <c r="C458" s="112" t="s">
        <v>31</v>
      </c>
      <c r="D458" s="113" t="s">
        <v>376</v>
      </c>
      <c r="E458" s="114" t="s">
        <v>33</v>
      </c>
      <c r="F458" s="115" t="s">
        <v>377</v>
      </c>
      <c r="G458" s="11"/>
      <c r="H458" s="114" t="s">
        <v>35</v>
      </c>
      <c r="I458" s="113" t="s">
        <v>378</v>
      </c>
      <c r="J458" s="113" t="s">
        <v>379</v>
      </c>
      <c r="K458" s="113" t="s">
        <v>380</v>
      </c>
      <c r="L458" s="113" t="s">
        <v>381</v>
      </c>
      <c r="M458" s="114" t="s">
        <v>40</v>
      </c>
      <c r="N458" s="113" t="s">
        <v>25</v>
      </c>
      <c r="O458" s="116" t="s">
        <v>382</v>
      </c>
      <c r="P458" s="113" t="s">
        <v>383</v>
      </c>
      <c r="Q458" s="97"/>
      <c r="R458" s="97"/>
      <c r="S458" s="97"/>
      <c r="T458" s="97"/>
      <c r="U458" s="97"/>
      <c r="V458" s="97"/>
      <c r="W458" s="97"/>
      <c r="X458" s="142"/>
      <c r="Y458" s="142"/>
      <c r="Z458" s="142"/>
    </row>
    <row r="459">
      <c r="A459" s="104"/>
      <c r="B459" s="118">
        <f>B448+1</f>
        <v>42</v>
      </c>
      <c r="C459" s="119" t="s">
        <v>43</v>
      </c>
      <c r="D459" s="120" t="s">
        <v>44</v>
      </c>
      <c r="E459" s="121"/>
      <c r="F459" s="122" t="s">
        <v>45</v>
      </c>
      <c r="G459" s="11"/>
      <c r="H459" s="121"/>
      <c r="I459" s="123" t="s">
        <v>46</v>
      </c>
      <c r="J459" s="10"/>
      <c r="K459" s="10"/>
      <c r="L459" s="11"/>
      <c r="M459" s="121"/>
      <c r="N459" s="119"/>
      <c r="O459" s="119"/>
      <c r="P459" s="120"/>
      <c r="Q459" s="141"/>
      <c r="R459" s="141"/>
      <c r="S459" s="141"/>
      <c r="T459" s="141"/>
      <c r="U459" s="141"/>
      <c r="V459" s="141"/>
      <c r="W459" s="141"/>
      <c r="X459" s="142"/>
      <c r="Y459" s="142"/>
      <c r="Z459" s="142"/>
    </row>
    <row r="460">
      <c r="A460" s="104"/>
      <c r="B460" s="121"/>
      <c r="C460" s="126">
        <f>IF(ISBLANK($C$9),"",C455+1)</f>
        <v>45985</v>
      </c>
      <c r="D460" s="127"/>
      <c r="E460" s="121"/>
      <c r="F460" s="127" t="str">
        <f>IF(ISNUMBER(F455),F455+1,"")</f>
        <v/>
      </c>
      <c r="G460" s="128"/>
      <c r="H460" s="121"/>
      <c r="I460" s="127">
        <f t="shared" ref="I460:I466" si="161">J460*4+K460*4+L460*9</f>
        <v>0</v>
      </c>
      <c r="J460" s="127"/>
      <c r="K460" s="127"/>
      <c r="L460" s="127"/>
      <c r="M460" s="121"/>
      <c r="N460" s="128"/>
      <c r="O460" s="127"/>
      <c r="P460" s="127"/>
      <c r="Q460" s="97"/>
      <c r="R460" s="97"/>
      <c r="S460" s="97"/>
      <c r="T460" s="97"/>
      <c r="U460" s="97"/>
      <c r="V460" s="97"/>
      <c r="W460" s="97"/>
      <c r="X460" s="142"/>
      <c r="Y460" s="142"/>
      <c r="Z460" s="142"/>
    </row>
    <row r="461">
      <c r="A461" s="104"/>
      <c r="B461" s="121"/>
      <c r="C461" s="132">
        <f t="shared" ref="C461:C466" si="162">IF(ISBLANK($C$9),"",C460+1)</f>
        <v>45986</v>
      </c>
      <c r="D461" s="133"/>
      <c r="E461" s="121"/>
      <c r="F461" s="134" t="str">
        <f t="shared" ref="F461:F466" si="163">IF(ISNUMBER(F460),F460+1,"")</f>
        <v/>
      </c>
      <c r="G461" s="134"/>
      <c r="H461" s="121"/>
      <c r="I461" s="133">
        <f t="shared" si="161"/>
        <v>0</v>
      </c>
      <c r="J461" s="133"/>
      <c r="K461" s="133"/>
      <c r="L461" s="133"/>
      <c r="M461" s="121"/>
      <c r="N461" s="134"/>
      <c r="O461" s="133"/>
      <c r="P461" s="133"/>
      <c r="Q461" s="97"/>
      <c r="R461" s="97"/>
      <c r="S461" s="97"/>
      <c r="T461" s="97"/>
      <c r="U461" s="97"/>
      <c r="V461" s="97"/>
      <c r="W461" s="97"/>
      <c r="X461" s="142"/>
      <c r="Y461" s="142"/>
      <c r="Z461" s="142"/>
    </row>
    <row r="462">
      <c r="A462" s="104"/>
      <c r="B462" s="121"/>
      <c r="C462" s="132">
        <f t="shared" si="162"/>
        <v>45987</v>
      </c>
      <c r="D462" s="133"/>
      <c r="E462" s="121"/>
      <c r="F462" s="134" t="str">
        <f t="shared" si="163"/>
        <v/>
      </c>
      <c r="G462" s="134"/>
      <c r="H462" s="121"/>
      <c r="I462" s="133">
        <f t="shared" si="161"/>
        <v>0</v>
      </c>
      <c r="J462" s="133"/>
      <c r="K462" s="133"/>
      <c r="L462" s="133"/>
      <c r="M462" s="121"/>
      <c r="N462" s="134"/>
      <c r="O462" s="133"/>
      <c r="P462" s="133"/>
      <c r="Q462" s="97"/>
      <c r="R462" s="97"/>
      <c r="S462" s="97"/>
      <c r="T462" s="97"/>
      <c r="U462" s="97"/>
      <c r="V462" s="97"/>
      <c r="W462" s="97"/>
      <c r="X462" s="142"/>
      <c r="Y462" s="142"/>
      <c r="Z462" s="142"/>
    </row>
    <row r="463">
      <c r="A463" s="104"/>
      <c r="B463" s="121"/>
      <c r="C463" s="132">
        <f t="shared" si="162"/>
        <v>45988</v>
      </c>
      <c r="D463" s="133"/>
      <c r="E463" s="121"/>
      <c r="F463" s="134" t="str">
        <f t="shared" si="163"/>
        <v/>
      </c>
      <c r="G463" s="134"/>
      <c r="H463" s="121"/>
      <c r="I463" s="133">
        <f t="shared" si="161"/>
        <v>0</v>
      </c>
      <c r="J463" s="134"/>
      <c r="K463" s="134"/>
      <c r="L463" s="134"/>
      <c r="M463" s="121"/>
      <c r="N463" s="134"/>
      <c r="O463" s="133"/>
      <c r="P463" s="134"/>
      <c r="Q463" s="97"/>
      <c r="R463" s="97"/>
      <c r="S463" s="97"/>
      <c r="T463" s="97"/>
      <c r="U463" s="97"/>
      <c r="V463" s="97"/>
      <c r="W463" s="97"/>
      <c r="X463" s="142"/>
      <c r="Y463" s="142"/>
      <c r="Z463" s="142"/>
    </row>
    <row r="464">
      <c r="A464" s="104"/>
      <c r="B464" s="121"/>
      <c r="C464" s="132">
        <f t="shared" si="162"/>
        <v>45989</v>
      </c>
      <c r="D464" s="133"/>
      <c r="E464" s="121"/>
      <c r="F464" s="134" t="str">
        <f t="shared" si="163"/>
        <v/>
      </c>
      <c r="G464" s="134"/>
      <c r="H464" s="121"/>
      <c r="I464" s="133">
        <f t="shared" si="161"/>
        <v>0</v>
      </c>
      <c r="J464" s="134"/>
      <c r="K464" s="134"/>
      <c r="L464" s="134"/>
      <c r="M464" s="121"/>
      <c r="N464" s="134"/>
      <c r="O464" s="133"/>
      <c r="P464" s="133"/>
      <c r="Q464" s="97"/>
      <c r="R464" s="97"/>
      <c r="S464" s="97"/>
      <c r="T464" s="97"/>
      <c r="U464" s="97"/>
      <c r="V464" s="97"/>
      <c r="W464" s="97"/>
      <c r="X464" s="142"/>
      <c r="Y464" s="142"/>
      <c r="Z464" s="142"/>
    </row>
    <row r="465">
      <c r="A465" s="104"/>
      <c r="B465" s="121"/>
      <c r="C465" s="132">
        <f t="shared" si="162"/>
        <v>45990</v>
      </c>
      <c r="D465" s="133"/>
      <c r="E465" s="121"/>
      <c r="F465" s="134" t="str">
        <f t="shared" si="163"/>
        <v/>
      </c>
      <c r="G465" s="134"/>
      <c r="H465" s="121"/>
      <c r="I465" s="133">
        <f t="shared" si="161"/>
        <v>0</v>
      </c>
      <c r="J465" s="134"/>
      <c r="K465" s="134"/>
      <c r="L465" s="134"/>
      <c r="M465" s="121"/>
      <c r="N465" s="134"/>
      <c r="O465" s="133"/>
      <c r="P465" s="133"/>
      <c r="Q465" s="97"/>
      <c r="R465" s="97"/>
      <c r="S465" s="97"/>
      <c r="T465" s="97"/>
      <c r="U465" s="97"/>
      <c r="V465" s="97"/>
      <c r="W465" s="97"/>
      <c r="X465" s="142"/>
      <c r="Y465" s="142"/>
      <c r="Z465" s="142"/>
    </row>
    <row r="466">
      <c r="A466" s="104"/>
      <c r="B466" s="121"/>
      <c r="C466" s="135">
        <f t="shared" si="162"/>
        <v>45991</v>
      </c>
      <c r="D466" s="136"/>
      <c r="E466" s="121"/>
      <c r="F466" s="137" t="str">
        <f t="shared" si="163"/>
        <v/>
      </c>
      <c r="G466" s="137"/>
      <c r="H466" s="121"/>
      <c r="I466" s="136">
        <f t="shared" si="161"/>
        <v>0</v>
      </c>
      <c r="J466" s="137"/>
      <c r="K466" s="137"/>
      <c r="L466" s="137"/>
      <c r="M466" s="121"/>
      <c r="N466" s="137"/>
      <c r="O466" s="136"/>
      <c r="P466" s="137"/>
      <c r="Q466" s="97"/>
      <c r="R466" s="97"/>
      <c r="S466" s="97"/>
      <c r="T466" s="97"/>
      <c r="U466" s="97"/>
      <c r="V466" s="97"/>
      <c r="W466" s="97"/>
      <c r="X466" s="142"/>
      <c r="Y466" s="142"/>
      <c r="Z466" s="142"/>
    </row>
    <row r="467">
      <c r="A467" s="104"/>
      <c r="B467" s="138"/>
      <c r="C467" s="112" t="s">
        <v>51</v>
      </c>
      <c r="D467" s="116">
        <f>IFERROR(ROUND(AVERAGE(D460:D466),1),0)</f>
        <v>0</v>
      </c>
      <c r="E467" s="138"/>
      <c r="F467" s="115" t="s">
        <v>52</v>
      </c>
      <c r="G467" s="11"/>
      <c r="H467" s="138"/>
      <c r="I467" s="116">
        <f>IFERROR(ROUND(AVERAGEIF(I460:I466,"&lt;&gt;0"),0),0)</f>
        <v>0</v>
      </c>
      <c r="J467" s="116">
        <f t="shared" ref="J467:L467" si="164">IFERROR(ROUND(AVERAGE(J460:J466),0),0)</f>
        <v>0</v>
      </c>
      <c r="K467" s="116">
        <f t="shared" si="164"/>
        <v>0</v>
      </c>
      <c r="L467" s="116">
        <f t="shared" si="164"/>
        <v>0</v>
      </c>
      <c r="M467" s="138"/>
      <c r="N467" s="116">
        <f>IFERROR(ROUND(AVERAGE(N460:N466),0),0)</f>
        <v>0</v>
      </c>
      <c r="O467" s="116">
        <f>IFERROR(SUM(O460:O466),0)</f>
        <v>0</v>
      </c>
      <c r="P467" s="116">
        <f>IFERROR(COUNTA(P460:P466),0)</f>
        <v>0</v>
      </c>
      <c r="Q467" s="97"/>
      <c r="R467" s="97"/>
      <c r="S467" s="97"/>
      <c r="T467" s="97"/>
      <c r="U467" s="97"/>
      <c r="V467" s="97"/>
      <c r="W467" s="97"/>
      <c r="X467" s="142"/>
      <c r="Y467" s="142"/>
      <c r="Z467" s="142"/>
    </row>
    <row r="468">
      <c r="A468" s="97"/>
      <c r="B468" s="109"/>
      <c r="C468" s="97"/>
      <c r="D468" s="98"/>
      <c r="E468" s="140"/>
      <c r="F468" s="140"/>
      <c r="G468" s="140"/>
      <c r="H468" s="140"/>
      <c r="I468" s="140"/>
      <c r="J468" s="140"/>
      <c r="K468" s="140"/>
      <c r="L468" s="140"/>
      <c r="M468" s="140"/>
      <c r="N468" s="98"/>
      <c r="O468" s="98"/>
      <c r="P468" s="98"/>
      <c r="Q468" s="97"/>
      <c r="R468" s="97"/>
      <c r="S468" s="97"/>
      <c r="T468" s="97"/>
      <c r="U468" s="97"/>
      <c r="V468" s="97"/>
      <c r="W468" s="97"/>
      <c r="X468" s="142"/>
      <c r="Y468" s="142"/>
      <c r="Z468" s="142"/>
    </row>
    <row r="469">
      <c r="A469" s="97"/>
      <c r="B469" s="112" t="s">
        <v>30</v>
      </c>
      <c r="C469" s="112" t="s">
        <v>31</v>
      </c>
      <c r="D469" s="113" t="s">
        <v>384</v>
      </c>
      <c r="E469" s="114" t="s">
        <v>33</v>
      </c>
      <c r="F469" s="115" t="s">
        <v>385</v>
      </c>
      <c r="G469" s="11"/>
      <c r="H469" s="114" t="s">
        <v>35</v>
      </c>
      <c r="I469" s="113" t="s">
        <v>386</v>
      </c>
      <c r="J469" s="113" t="s">
        <v>387</v>
      </c>
      <c r="K469" s="113" t="s">
        <v>388</v>
      </c>
      <c r="L469" s="113" t="s">
        <v>389</v>
      </c>
      <c r="M469" s="114" t="s">
        <v>40</v>
      </c>
      <c r="N469" s="113" t="s">
        <v>25</v>
      </c>
      <c r="O469" s="116" t="s">
        <v>390</v>
      </c>
      <c r="P469" s="113" t="s">
        <v>391</v>
      </c>
      <c r="Q469" s="97"/>
      <c r="R469" s="97"/>
      <c r="S469" s="97"/>
      <c r="T469" s="97"/>
      <c r="U469" s="97"/>
      <c r="V469" s="97"/>
      <c r="W469" s="97"/>
      <c r="X469" s="142"/>
      <c r="Y469" s="142"/>
      <c r="Z469" s="142"/>
    </row>
    <row r="470">
      <c r="A470" s="104"/>
      <c r="B470" s="118">
        <f>B459+1</f>
        <v>43</v>
      </c>
      <c r="C470" s="119" t="s">
        <v>43</v>
      </c>
      <c r="D470" s="120" t="s">
        <v>44</v>
      </c>
      <c r="E470" s="121"/>
      <c r="F470" s="122" t="s">
        <v>45</v>
      </c>
      <c r="G470" s="11"/>
      <c r="H470" s="121"/>
      <c r="I470" s="123" t="s">
        <v>46</v>
      </c>
      <c r="J470" s="10"/>
      <c r="K470" s="10"/>
      <c r="L470" s="11"/>
      <c r="M470" s="121"/>
      <c r="N470" s="119"/>
      <c r="O470" s="119"/>
      <c r="P470" s="120"/>
      <c r="Q470" s="141"/>
      <c r="R470" s="141"/>
      <c r="S470" s="141"/>
      <c r="T470" s="141"/>
      <c r="U470" s="141"/>
      <c r="V470" s="141"/>
      <c r="W470" s="141"/>
      <c r="X470" s="142"/>
      <c r="Y470" s="142"/>
      <c r="Z470" s="142"/>
    </row>
    <row r="471">
      <c r="A471" s="104"/>
      <c r="B471" s="121"/>
      <c r="C471" s="126">
        <f>IF(ISBLANK($C$9),"",C466+1)</f>
        <v>45992</v>
      </c>
      <c r="D471" s="127"/>
      <c r="E471" s="121"/>
      <c r="F471" s="127" t="str">
        <f>IF(ISNUMBER(F466),F466+1,"")</f>
        <v/>
      </c>
      <c r="G471" s="128"/>
      <c r="H471" s="121"/>
      <c r="I471" s="127">
        <f t="shared" ref="I471:I477" si="165">J471*4+K471*4+L471*9</f>
        <v>0</v>
      </c>
      <c r="J471" s="127"/>
      <c r="K471" s="127"/>
      <c r="L471" s="127"/>
      <c r="M471" s="121"/>
      <c r="N471" s="128"/>
      <c r="O471" s="127"/>
      <c r="P471" s="127"/>
      <c r="Q471" s="97"/>
      <c r="R471" s="97"/>
      <c r="S471" s="97"/>
      <c r="T471" s="97"/>
      <c r="U471" s="97"/>
      <c r="V471" s="97"/>
      <c r="W471" s="97"/>
      <c r="X471" s="142"/>
      <c r="Y471" s="142"/>
      <c r="Z471" s="142"/>
    </row>
    <row r="472">
      <c r="A472" s="104"/>
      <c r="B472" s="121"/>
      <c r="C472" s="132">
        <f t="shared" ref="C472:C477" si="166">IF(ISBLANK($C$9),"",C471+1)</f>
        <v>45993</v>
      </c>
      <c r="D472" s="133"/>
      <c r="E472" s="121"/>
      <c r="F472" s="134" t="str">
        <f t="shared" ref="F472:F477" si="167">IF(ISNUMBER(F471),F471+1,"")</f>
        <v/>
      </c>
      <c r="G472" s="134"/>
      <c r="H472" s="121"/>
      <c r="I472" s="133">
        <f t="shared" si="165"/>
        <v>0</v>
      </c>
      <c r="J472" s="133"/>
      <c r="K472" s="133"/>
      <c r="L472" s="133"/>
      <c r="M472" s="121"/>
      <c r="N472" s="134"/>
      <c r="O472" s="133"/>
      <c r="P472" s="133"/>
      <c r="Q472" s="97"/>
      <c r="R472" s="97"/>
      <c r="S472" s="97"/>
      <c r="T472" s="97"/>
      <c r="U472" s="97"/>
      <c r="V472" s="97"/>
      <c r="W472" s="97"/>
      <c r="X472" s="142"/>
      <c r="Y472" s="142"/>
      <c r="Z472" s="142"/>
    </row>
    <row r="473">
      <c r="A473" s="104"/>
      <c r="B473" s="121"/>
      <c r="C473" s="132">
        <f t="shared" si="166"/>
        <v>45994</v>
      </c>
      <c r="D473" s="133"/>
      <c r="E473" s="121"/>
      <c r="F473" s="134" t="str">
        <f t="shared" si="167"/>
        <v/>
      </c>
      <c r="G473" s="134"/>
      <c r="H473" s="121"/>
      <c r="I473" s="133">
        <f t="shared" si="165"/>
        <v>0</v>
      </c>
      <c r="J473" s="133"/>
      <c r="K473" s="133"/>
      <c r="L473" s="133"/>
      <c r="M473" s="121"/>
      <c r="N473" s="134"/>
      <c r="O473" s="133"/>
      <c r="P473" s="133"/>
      <c r="Q473" s="97"/>
      <c r="R473" s="97"/>
      <c r="S473" s="97"/>
      <c r="T473" s="97"/>
      <c r="U473" s="97"/>
      <c r="V473" s="97"/>
      <c r="W473" s="97"/>
      <c r="X473" s="142"/>
      <c r="Y473" s="142"/>
      <c r="Z473" s="142"/>
    </row>
    <row r="474">
      <c r="A474" s="104"/>
      <c r="B474" s="121"/>
      <c r="C474" s="132">
        <f t="shared" si="166"/>
        <v>45995</v>
      </c>
      <c r="D474" s="133"/>
      <c r="E474" s="121"/>
      <c r="F474" s="134" t="str">
        <f t="shared" si="167"/>
        <v/>
      </c>
      <c r="G474" s="134"/>
      <c r="H474" s="121"/>
      <c r="I474" s="133">
        <f t="shared" si="165"/>
        <v>0</v>
      </c>
      <c r="J474" s="134"/>
      <c r="K474" s="134"/>
      <c r="L474" s="134"/>
      <c r="M474" s="121"/>
      <c r="N474" s="134"/>
      <c r="O474" s="133"/>
      <c r="P474" s="134"/>
      <c r="Q474" s="97"/>
      <c r="R474" s="97"/>
      <c r="S474" s="97"/>
      <c r="T474" s="97"/>
      <c r="U474" s="97"/>
      <c r="V474" s="97"/>
      <c r="W474" s="97"/>
      <c r="X474" s="142"/>
      <c r="Y474" s="142"/>
      <c r="Z474" s="142"/>
    </row>
    <row r="475">
      <c r="A475" s="104"/>
      <c r="B475" s="121"/>
      <c r="C475" s="132">
        <f t="shared" si="166"/>
        <v>45996</v>
      </c>
      <c r="D475" s="133"/>
      <c r="E475" s="121"/>
      <c r="F475" s="134" t="str">
        <f t="shared" si="167"/>
        <v/>
      </c>
      <c r="G475" s="134"/>
      <c r="H475" s="121"/>
      <c r="I475" s="133">
        <f t="shared" si="165"/>
        <v>0</v>
      </c>
      <c r="J475" s="134"/>
      <c r="K475" s="134"/>
      <c r="L475" s="134"/>
      <c r="M475" s="121"/>
      <c r="N475" s="134"/>
      <c r="O475" s="133"/>
      <c r="P475" s="133"/>
      <c r="Q475" s="97"/>
      <c r="R475" s="97"/>
      <c r="S475" s="97"/>
      <c r="T475" s="97"/>
      <c r="U475" s="97"/>
      <c r="V475" s="97"/>
      <c r="W475" s="97"/>
      <c r="X475" s="142"/>
      <c r="Y475" s="142"/>
      <c r="Z475" s="142"/>
    </row>
    <row r="476">
      <c r="A476" s="104"/>
      <c r="B476" s="121"/>
      <c r="C476" s="132">
        <f t="shared" si="166"/>
        <v>45997</v>
      </c>
      <c r="D476" s="133"/>
      <c r="E476" s="121"/>
      <c r="F476" s="134" t="str">
        <f t="shared" si="167"/>
        <v/>
      </c>
      <c r="G476" s="134"/>
      <c r="H476" s="121"/>
      <c r="I476" s="133">
        <f t="shared" si="165"/>
        <v>0</v>
      </c>
      <c r="J476" s="134"/>
      <c r="K476" s="134"/>
      <c r="L476" s="134"/>
      <c r="M476" s="121"/>
      <c r="N476" s="134"/>
      <c r="O476" s="133"/>
      <c r="P476" s="133"/>
      <c r="Q476" s="97"/>
      <c r="R476" s="97"/>
      <c r="S476" s="97"/>
      <c r="T476" s="97"/>
      <c r="U476" s="97"/>
      <c r="V476" s="97"/>
      <c r="W476" s="97"/>
      <c r="X476" s="142"/>
      <c r="Y476" s="142"/>
      <c r="Z476" s="142"/>
    </row>
    <row r="477">
      <c r="A477" s="104"/>
      <c r="B477" s="121"/>
      <c r="C477" s="135">
        <f t="shared" si="166"/>
        <v>45998</v>
      </c>
      <c r="D477" s="136"/>
      <c r="E477" s="121"/>
      <c r="F477" s="137" t="str">
        <f t="shared" si="167"/>
        <v/>
      </c>
      <c r="G477" s="137"/>
      <c r="H477" s="121"/>
      <c r="I477" s="136">
        <f t="shared" si="165"/>
        <v>0</v>
      </c>
      <c r="J477" s="137"/>
      <c r="K477" s="137"/>
      <c r="L477" s="137"/>
      <c r="M477" s="121"/>
      <c r="N477" s="137"/>
      <c r="O477" s="136"/>
      <c r="P477" s="137"/>
      <c r="Q477" s="97"/>
      <c r="R477" s="97"/>
      <c r="S477" s="97"/>
      <c r="T477" s="97"/>
      <c r="U477" s="97"/>
      <c r="V477" s="97"/>
      <c r="W477" s="97"/>
      <c r="X477" s="142"/>
      <c r="Y477" s="142"/>
      <c r="Z477" s="142"/>
    </row>
    <row r="478">
      <c r="A478" s="104"/>
      <c r="B478" s="138"/>
      <c r="C478" s="112" t="s">
        <v>51</v>
      </c>
      <c r="D478" s="116">
        <f>IFERROR(ROUND(AVERAGE(D471:D477),1),0)</f>
        <v>0</v>
      </c>
      <c r="E478" s="138"/>
      <c r="F478" s="115" t="s">
        <v>52</v>
      </c>
      <c r="G478" s="11"/>
      <c r="H478" s="138"/>
      <c r="I478" s="116">
        <f>IFERROR(ROUND(AVERAGEIF(I471:I477,"&lt;&gt;0"),0),0)</f>
        <v>0</v>
      </c>
      <c r="J478" s="116">
        <f t="shared" ref="J478:L478" si="168">IFERROR(ROUND(AVERAGE(J471:J477),0),0)</f>
        <v>0</v>
      </c>
      <c r="K478" s="116">
        <f t="shared" si="168"/>
        <v>0</v>
      </c>
      <c r="L478" s="116">
        <f t="shared" si="168"/>
        <v>0</v>
      </c>
      <c r="M478" s="138"/>
      <c r="N478" s="116">
        <f>IFERROR(ROUND(AVERAGE(N471:N477),0),0)</f>
        <v>0</v>
      </c>
      <c r="O478" s="116">
        <f>IFERROR(SUM(O471:O477),0)</f>
        <v>0</v>
      </c>
      <c r="P478" s="116">
        <f>IFERROR(COUNTA(P471:P477),0)</f>
        <v>0</v>
      </c>
      <c r="Q478" s="97"/>
      <c r="R478" s="97"/>
      <c r="S478" s="97"/>
      <c r="T478" s="97"/>
      <c r="U478" s="97"/>
      <c r="V478" s="97"/>
      <c r="W478" s="97"/>
      <c r="X478" s="142"/>
      <c r="Y478" s="142"/>
      <c r="Z478" s="142"/>
    </row>
    <row r="479">
      <c r="A479" s="97"/>
      <c r="B479" s="109"/>
      <c r="C479" s="97"/>
      <c r="D479" s="98"/>
      <c r="E479" s="140"/>
      <c r="F479" s="140"/>
      <c r="G479" s="140"/>
      <c r="H479" s="140"/>
      <c r="I479" s="140"/>
      <c r="J479" s="140"/>
      <c r="K479" s="140"/>
      <c r="L479" s="140"/>
      <c r="M479" s="140"/>
      <c r="N479" s="98"/>
      <c r="O479" s="98"/>
      <c r="P479" s="98"/>
      <c r="Q479" s="97"/>
      <c r="R479" s="97"/>
      <c r="S479" s="97"/>
      <c r="T479" s="97"/>
      <c r="U479" s="97"/>
      <c r="V479" s="97"/>
      <c r="W479" s="97"/>
      <c r="X479" s="142"/>
      <c r="Y479" s="142"/>
      <c r="Z479" s="142"/>
    </row>
    <row r="480">
      <c r="A480" s="97"/>
      <c r="B480" s="112" t="s">
        <v>30</v>
      </c>
      <c r="C480" s="112" t="s">
        <v>31</v>
      </c>
      <c r="D480" s="113" t="s">
        <v>392</v>
      </c>
      <c r="E480" s="114" t="s">
        <v>33</v>
      </c>
      <c r="F480" s="115" t="s">
        <v>393</v>
      </c>
      <c r="G480" s="11"/>
      <c r="H480" s="114" t="s">
        <v>35</v>
      </c>
      <c r="I480" s="113" t="s">
        <v>394</v>
      </c>
      <c r="J480" s="113" t="s">
        <v>395</v>
      </c>
      <c r="K480" s="113" t="s">
        <v>396</v>
      </c>
      <c r="L480" s="113" t="s">
        <v>397</v>
      </c>
      <c r="M480" s="114" t="s">
        <v>40</v>
      </c>
      <c r="N480" s="113" t="s">
        <v>25</v>
      </c>
      <c r="O480" s="116" t="s">
        <v>398</v>
      </c>
      <c r="P480" s="113" t="s">
        <v>399</v>
      </c>
      <c r="Q480" s="97"/>
      <c r="R480" s="97"/>
      <c r="S480" s="97"/>
      <c r="T480" s="97"/>
      <c r="U480" s="97"/>
      <c r="V480" s="97"/>
      <c r="W480" s="97"/>
      <c r="X480" s="142"/>
      <c r="Y480" s="142"/>
      <c r="Z480" s="142"/>
    </row>
    <row r="481">
      <c r="A481" s="104"/>
      <c r="B481" s="118">
        <f>B470+1</f>
        <v>44</v>
      </c>
      <c r="C481" s="119" t="s">
        <v>43</v>
      </c>
      <c r="D481" s="120" t="s">
        <v>44</v>
      </c>
      <c r="E481" s="121"/>
      <c r="F481" s="122" t="s">
        <v>45</v>
      </c>
      <c r="G481" s="11"/>
      <c r="H481" s="121"/>
      <c r="I481" s="123" t="s">
        <v>46</v>
      </c>
      <c r="J481" s="10"/>
      <c r="K481" s="10"/>
      <c r="L481" s="11"/>
      <c r="M481" s="121"/>
      <c r="N481" s="119"/>
      <c r="O481" s="119"/>
      <c r="P481" s="120"/>
      <c r="Q481" s="141"/>
      <c r="R481" s="141"/>
      <c r="S481" s="141"/>
      <c r="T481" s="141"/>
      <c r="U481" s="141"/>
      <c r="V481" s="141"/>
      <c r="W481" s="141"/>
      <c r="X481" s="142"/>
      <c r="Y481" s="142"/>
      <c r="Z481" s="142"/>
    </row>
    <row r="482">
      <c r="A482" s="104"/>
      <c r="B482" s="121"/>
      <c r="C482" s="126">
        <f>IF(ISBLANK($C$9),"",C477+1)</f>
        <v>45999</v>
      </c>
      <c r="D482" s="127"/>
      <c r="E482" s="121"/>
      <c r="F482" s="127" t="str">
        <f>IF(ISNUMBER(F477),F477+1,"")</f>
        <v/>
      </c>
      <c r="G482" s="128"/>
      <c r="H482" s="121"/>
      <c r="I482" s="127">
        <f t="shared" ref="I482:I488" si="169">J482*4+K482*4+L482*9</f>
        <v>0</v>
      </c>
      <c r="J482" s="127"/>
      <c r="K482" s="127"/>
      <c r="L482" s="127"/>
      <c r="M482" s="121"/>
      <c r="N482" s="128"/>
      <c r="O482" s="127"/>
      <c r="P482" s="127"/>
      <c r="Q482" s="97"/>
      <c r="R482" s="97"/>
      <c r="S482" s="97"/>
      <c r="T482" s="97"/>
      <c r="U482" s="97"/>
      <c r="V482" s="97"/>
      <c r="W482" s="97"/>
      <c r="X482" s="142"/>
      <c r="Y482" s="142"/>
      <c r="Z482" s="142"/>
    </row>
    <row r="483">
      <c r="A483" s="104"/>
      <c r="B483" s="121"/>
      <c r="C483" s="132">
        <f t="shared" ref="C483:C488" si="170">IF(ISBLANK($C$9),"",C482+1)</f>
        <v>46000</v>
      </c>
      <c r="D483" s="133"/>
      <c r="E483" s="121"/>
      <c r="F483" s="134" t="str">
        <f t="shared" ref="F483:F488" si="171">IF(ISNUMBER(F482),F482+1,"")</f>
        <v/>
      </c>
      <c r="G483" s="134"/>
      <c r="H483" s="121"/>
      <c r="I483" s="133">
        <f t="shared" si="169"/>
        <v>0</v>
      </c>
      <c r="J483" s="133"/>
      <c r="K483" s="133"/>
      <c r="L483" s="133"/>
      <c r="M483" s="121"/>
      <c r="N483" s="134"/>
      <c r="O483" s="133"/>
      <c r="P483" s="133"/>
      <c r="Q483" s="97"/>
      <c r="R483" s="97"/>
      <c r="S483" s="97"/>
      <c r="T483" s="97"/>
      <c r="U483" s="97"/>
      <c r="V483" s="97"/>
      <c r="W483" s="97"/>
      <c r="X483" s="142"/>
      <c r="Y483" s="142"/>
      <c r="Z483" s="142"/>
    </row>
    <row r="484">
      <c r="A484" s="104"/>
      <c r="B484" s="121"/>
      <c r="C484" s="132">
        <f t="shared" si="170"/>
        <v>46001</v>
      </c>
      <c r="D484" s="133"/>
      <c r="E484" s="121"/>
      <c r="F484" s="134" t="str">
        <f t="shared" si="171"/>
        <v/>
      </c>
      <c r="G484" s="134"/>
      <c r="H484" s="121"/>
      <c r="I484" s="133">
        <f t="shared" si="169"/>
        <v>0</v>
      </c>
      <c r="J484" s="133"/>
      <c r="K484" s="133"/>
      <c r="L484" s="133"/>
      <c r="M484" s="121"/>
      <c r="N484" s="134"/>
      <c r="O484" s="133"/>
      <c r="P484" s="133"/>
      <c r="Q484" s="97"/>
      <c r="R484" s="97"/>
      <c r="S484" s="97"/>
      <c r="T484" s="97"/>
      <c r="U484" s="97"/>
      <c r="V484" s="97"/>
      <c r="W484" s="97"/>
      <c r="X484" s="142"/>
      <c r="Y484" s="142"/>
      <c r="Z484" s="142"/>
    </row>
    <row r="485">
      <c r="A485" s="104"/>
      <c r="B485" s="121"/>
      <c r="C485" s="132">
        <f t="shared" si="170"/>
        <v>46002</v>
      </c>
      <c r="D485" s="133"/>
      <c r="E485" s="121"/>
      <c r="F485" s="134" t="str">
        <f t="shared" si="171"/>
        <v/>
      </c>
      <c r="G485" s="134"/>
      <c r="H485" s="121"/>
      <c r="I485" s="133">
        <f t="shared" si="169"/>
        <v>0</v>
      </c>
      <c r="J485" s="134"/>
      <c r="K485" s="134"/>
      <c r="L485" s="134"/>
      <c r="M485" s="121"/>
      <c r="N485" s="134"/>
      <c r="O485" s="133"/>
      <c r="P485" s="134"/>
      <c r="Q485" s="97"/>
      <c r="R485" s="97"/>
      <c r="S485" s="97"/>
      <c r="T485" s="97"/>
      <c r="U485" s="97"/>
      <c r="V485" s="97"/>
      <c r="W485" s="97"/>
      <c r="X485" s="142"/>
      <c r="Y485" s="142"/>
      <c r="Z485" s="142"/>
    </row>
    <row r="486">
      <c r="A486" s="104"/>
      <c r="B486" s="121"/>
      <c r="C486" s="132">
        <f t="shared" si="170"/>
        <v>46003</v>
      </c>
      <c r="D486" s="133"/>
      <c r="E486" s="121"/>
      <c r="F486" s="134" t="str">
        <f t="shared" si="171"/>
        <v/>
      </c>
      <c r="G486" s="134"/>
      <c r="H486" s="121"/>
      <c r="I486" s="133">
        <f t="shared" si="169"/>
        <v>0</v>
      </c>
      <c r="J486" s="134"/>
      <c r="K486" s="134"/>
      <c r="L486" s="134"/>
      <c r="M486" s="121"/>
      <c r="N486" s="134"/>
      <c r="O486" s="133"/>
      <c r="P486" s="133"/>
      <c r="Q486" s="97"/>
      <c r="R486" s="97"/>
      <c r="S486" s="97"/>
      <c r="T486" s="97"/>
      <c r="U486" s="97"/>
      <c r="V486" s="97"/>
      <c r="W486" s="97"/>
      <c r="X486" s="142"/>
      <c r="Y486" s="142"/>
      <c r="Z486" s="142"/>
    </row>
    <row r="487">
      <c r="A487" s="104"/>
      <c r="B487" s="121"/>
      <c r="C487" s="132">
        <f t="shared" si="170"/>
        <v>46004</v>
      </c>
      <c r="D487" s="133"/>
      <c r="E487" s="121"/>
      <c r="F487" s="134" t="str">
        <f t="shared" si="171"/>
        <v/>
      </c>
      <c r="G487" s="134"/>
      <c r="H487" s="121"/>
      <c r="I487" s="133">
        <f t="shared" si="169"/>
        <v>0</v>
      </c>
      <c r="J487" s="134"/>
      <c r="K487" s="134"/>
      <c r="L487" s="134"/>
      <c r="M487" s="121"/>
      <c r="N487" s="134"/>
      <c r="O487" s="133"/>
      <c r="P487" s="133"/>
      <c r="Q487" s="97"/>
      <c r="R487" s="97"/>
      <c r="S487" s="97"/>
      <c r="T487" s="97"/>
      <c r="U487" s="97"/>
      <c r="V487" s="97"/>
      <c r="W487" s="97"/>
      <c r="X487" s="142"/>
      <c r="Y487" s="142"/>
      <c r="Z487" s="142"/>
    </row>
    <row r="488">
      <c r="A488" s="104"/>
      <c r="B488" s="121"/>
      <c r="C488" s="135">
        <f t="shared" si="170"/>
        <v>46005</v>
      </c>
      <c r="D488" s="136"/>
      <c r="E488" s="121"/>
      <c r="F488" s="137" t="str">
        <f t="shared" si="171"/>
        <v/>
      </c>
      <c r="G488" s="137"/>
      <c r="H488" s="121"/>
      <c r="I488" s="136">
        <f t="shared" si="169"/>
        <v>0</v>
      </c>
      <c r="J488" s="137"/>
      <c r="K488" s="137"/>
      <c r="L488" s="137"/>
      <c r="M488" s="121"/>
      <c r="N488" s="137"/>
      <c r="O488" s="136"/>
      <c r="P488" s="137"/>
      <c r="Q488" s="97"/>
      <c r="R488" s="97"/>
      <c r="S488" s="97"/>
      <c r="T488" s="97"/>
      <c r="U488" s="97"/>
      <c r="V488" s="97"/>
      <c r="W488" s="97"/>
      <c r="X488" s="142"/>
      <c r="Y488" s="142"/>
      <c r="Z488" s="142"/>
    </row>
    <row r="489">
      <c r="A489" s="104"/>
      <c r="B489" s="138"/>
      <c r="C489" s="112" t="s">
        <v>51</v>
      </c>
      <c r="D489" s="116">
        <f>IFERROR(ROUND(AVERAGE(D482:D488),1),0)</f>
        <v>0</v>
      </c>
      <c r="E489" s="138"/>
      <c r="F489" s="115" t="s">
        <v>52</v>
      </c>
      <c r="G489" s="11"/>
      <c r="H489" s="138"/>
      <c r="I489" s="116">
        <f>IFERROR(ROUND(AVERAGEIF(I482:I488,"&lt;&gt;0"),0),0)</f>
        <v>0</v>
      </c>
      <c r="J489" s="116">
        <f t="shared" ref="J489:L489" si="172">IFERROR(ROUND(AVERAGE(J482:J488),0),0)</f>
        <v>0</v>
      </c>
      <c r="K489" s="116">
        <f t="shared" si="172"/>
        <v>0</v>
      </c>
      <c r="L489" s="116">
        <f t="shared" si="172"/>
        <v>0</v>
      </c>
      <c r="M489" s="138"/>
      <c r="N489" s="116">
        <f>IFERROR(ROUND(AVERAGE(N482:N488),0),0)</f>
        <v>0</v>
      </c>
      <c r="O489" s="116">
        <f>IFERROR(SUM(O482:O488),0)</f>
        <v>0</v>
      </c>
      <c r="P489" s="116">
        <f>IFERROR(COUNTA(P482:P488),0)</f>
        <v>0</v>
      </c>
      <c r="Q489" s="97"/>
      <c r="R489" s="97"/>
      <c r="S489" s="97"/>
      <c r="T489" s="97"/>
      <c r="U489" s="97"/>
      <c r="V489" s="97"/>
      <c r="W489" s="97"/>
      <c r="X489" s="142"/>
      <c r="Y489" s="142"/>
      <c r="Z489" s="142"/>
    </row>
    <row r="490">
      <c r="A490" s="97"/>
      <c r="B490" s="109"/>
      <c r="C490" s="97"/>
      <c r="D490" s="98"/>
      <c r="E490" s="140"/>
      <c r="F490" s="140"/>
      <c r="G490" s="140"/>
      <c r="H490" s="140"/>
      <c r="I490" s="140"/>
      <c r="J490" s="140"/>
      <c r="K490" s="140"/>
      <c r="L490" s="140"/>
      <c r="M490" s="140"/>
      <c r="N490" s="98"/>
      <c r="O490" s="98"/>
      <c r="P490" s="98"/>
      <c r="Q490" s="97"/>
      <c r="R490" s="97"/>
      <c r="S490" s="97"/>
      <c r="T490" s="97"/>
      <c r="U490" s="97"/>
      <c r="V490" s="97"/>
      <c r="W490" s="97"/>
      <c r="X490" s="142"/>
      <c r="Y490" s="142"/>
      <c r="Z490" s="142"/>
    </row>
    <row r="491">
      <c r="A491" s="97"/>
      <c r="B491" s="112" t="s">
        <v>30</v>
      </c>
      <c r="C491" s="112" t="s">
        <v>31</v>
      </c>
      <c r="D491" s="113" t="s">
        <v>400</v>
      </c>
      <c r="E491" s="114" t="s">
        <v>33</v>
      </c>
      <c r="F491" s="115" t="s">
        <v>401</v>
      </c>
      <c r="G491" s="11"/>
      <c r="H491" s="114" t="s">
        <v>35</v>
      </c>
      <c r="I491" s="113" t="s">
        <v>402</v>
      </c>
      <c r="J491" s="113" t="s">
        <v>403</v>
      </c>
      <c r="K491" s="113" t="s">
        <v>404</v>
      </c>
      <c r="L491" s="113" t="s">
        <v>405</v>
      </c>
      <c r="M491" s="114" t="s">
        <v>40</v>
      </c>
      <c r="N491" s="113" t="s">
        <v>25</v>
      </c>
      <c r="O491" s="116" t="s">
        <v>406</v>
      </c>
      <c r="P491" s="113" t="s">
        <v>407</v>
      </c>
      <c r="Q491" s="97"/>
      <c r="R491" s="97"/>
      <c r="S491" s="97"/>
      <c r="T491" s="97"/>
      <c r="U491" s="97"/>
      <c r="V491" s="97"/>
      <c r="W491" s="97"/>
      <c r="X491" s="142"/>
      <c r="Y491" s="142"/>
      <c r="Z491" s="142"/>
    </row>
    <row r="492">
      <c r="A492" s="104"/>
      <c r="B492" s="118">
        <f>B481+1</f>
        <v>45</v>
      </c>
      <c r="C492" s="119" t="s">
        <v>43</v>
      </c>
      <c r="D492" s="120" t="s">
        <v>44</v>
      </c>
      <c r="E492" s="121"/>
      <c r="F492" s="122" t="s">
        <v>45</v>
      </c>
      <c r="G492" s="11"/>
      <c r="H492" s="121"/>
      <c r="I492" s="123" t="s">
        <v>46</v>
      </c>
      <c r="J492" s="10"/>
      <c r="K492" s="10"/>
      <c r="L492" s="11"/>
      <c r="M492" s="121"/>
      <c r="N492" s="119"/>
      <c r="O492" s="119"/>
      <c r="P492" s="120"/>
      <c r="Q492" s="141"/>
      <c r="R492" s="141"/>
      <c r="S492" s="141"/>
      <c r="T492" s="141"/>
      <c r="U492" s="141"/>
      <c r="V492" s="141"/>
      <c r="W492" s="141"/>
      <c r="X492" s="142"/>
      <c r="Y492" s="142"/>
      <c r="Z492" s="142"/>
    </row>
    <row r="493">
      <c r="A493" s="104"/>
      <c r="B493" s="121"/>
      <c r="C493" s="126">
        <f>IF(ISBLANK($C$9),"",C488+1)</f>
        <v>46006</v>
      </c>
      <c r="D493" s="127"/>
      <c r="E493" s="121"/>
      <c r="F493" s="127" t="str">
        <f>IF(ISNUMBER(F488),F488+1,"")</f>
        <v/>
      </c>
      <c r="G493" s="128"/>
      <c r="H493" s="121"/>
      <c r="I493" s="127">
        <f t="shared" ref="I493:I499" si="173">J493*4+K493*4+L493*9</f>
        <v>0</v>
      </c>
      <c r="J493" s="127"/>
      <c r="K493" s="127"/>
      <c r="L493" s="127"/>
      <c r="M493" s="121"/>
      <c r="N493" s="128"/>
      <c r="O493" s="127"/>
      <c r="P493" s="127"/>
      <c r="Q493" s="97"/>
      <c r="R493" s="97"/>
      <c r="S493" s="97"/>
      <c r="T493" s="97"/>
      <c r="U493" s="97"/>
      <c r="V493" s="97"/>
      <c r="W493" s="97"/>
      <c r="X493" s="142"/>
      <c r="Y493" s="142"/>
      <c r="Z493" s="142"/>
    </row>
    <row r="494">
      <c r="A494" s="104"/>
      <c r="B494" s="121"/>
      <c r="C494" s="132">
        <f t="shared" ref="C494:C499" si="174">IF(ISBLANK($C$9),"",C493+1)</f>
        <v>46007</v>
      </c>
      <c r="D494" s="133"/>
      <c r="E494" s="121"/>
      <c r="F494" s="134" t="str">
        <f t="shared" ref="F494:F499" si="175">IF(ISNUMBER(F493),F493+1,"")</f>
        <v/>
      </c>
      <c r="G494" s="134"/>
      <c r="H494" s="121"/>
      <c r="I494" s="133">
        <f t="shared" si="173"/>
        <v>0</v>
      </c>
      <c r="J494" s="133"/>
      <c r="K494" s="133"/>
      <c r="L494" s="133"/>
      <c r="M494" s="121"/>
      <c r="N494" s="134"/>
      <c r="O494" s="133"/>
      <c r="P494" s="133"/>
      <c r="Q494" s="97"/>
      <c r="R494" s="97"/>
      <c r="S494" s="97"/>
      <c r="T494" s="97"/>
      <c r="U494" s="97"/>
      <c r="V494" s="97"/>
      <c r="W494" s="97"/>
      <c r="X494" s="142"/>
      <c r="Y494" s="142"/>
      <c r="Z494" s="142"/>
    </row>
    <row r="495">
      <c r="A495" s="104"/>
      <c r="B495" s="121"/>
      <c r="C495" s="132">
        <f t="shared" si="174"/>
        <v>46008</v>
      </c>
      <c r="D495" s="133"/>
      <c r="E495" s="121"/>
      <c r="F495" s="134" t="str">
        <f t="shared" si="175"/>
        <v/>
      </c>
      <c r="G495" s="134"/>
      <c r="H495" s="121"/>
      <c r="I495" s="133">
        <f t="shared" si="173"/>
        <v>0</v>
      </c>
      <c r="J495" s="133"/>
      <c r="K495" s="133"/>
      <c r="L495" s="133"/>
      <c r="M495" s="121"/>
      <c r="N495" s="134"/>
      <c r="O495" s="133"/>
      <c r="P495" s="133"/>
      <c r="Q495" s="97"/>
      <c r="R495" s="97"/>
      <c r="S495" s="97"/>
      <c r="T495" s="97"/>
      <c r="U495" s="97"/>
      <c r="V495" s="97"/>
      <c r="W495" s="97"/>
      <c r="X495" s="142"/>
      <c r="Y495" s="142"/>
      <c r="Z495" s="142"/>
    </row>
    <row r="496">
      <c r="A496" s="104"/>
      <c r="B496" s="121"/>
      <c r="C496" s="132">
        <f t="shared" si="174"/>
        <v>46009</v>
      </c>
      <c r="D496" s="133"/>
      <c r="E496" s="121"/>
      <c r="F496" s="134" t="str">
        <f t="shared" si="175"/>
        <v/>
      </c>
      <c r="G496" s="134"/>
      <c r="H496" s="121"/>
      <c r="I496" s="133">
        <f t="shared" si="173"/>
        <v>0</v>
      </c>
      <c r="J496" s="134"/>
      <c r="K496" s="134"/>
      <c r="L496" s="134"/>
      <c r="M496" s="121"/>
      <c r="N496" s="134"/>
      <c r="O496" s="133"/>
      <c r="P496" s="134"/>
      <c r="Q496" s="97"/>
      <c r="R496" s="97"/>
      <c r="S496" s="97"/>
      <c r="T496" s="97"/>
      <c r="U496" s="97"/>
      <c r="V496" s="97"/>
      <c r="W496" s="97"/>
      <c r="X496" s="142"/>
      <c r="Y496" s="142"/>
      <c r="Z496" s="142"/>
    </row>
    <row r="497">
      <c r="A497" s="104"/>
      <c r="B497" s="121"/>
      <c r="C497" s="132">
        <f t="shared" si="174"/>
        <v>46010</v>
      </c>
      <c r="D497" s="133"/>
      <c r="E497" s="121"/>
      <c r="F497" s="134" t="str">
        <f t="shared" si="175"/>
        <v/>
      </c>
      <c r="G497" s="134"/>
      <c r="H497" s="121"/>
      <c r="I497" s="133">
        <f t="shared" si="173"/>
        <v>0</v>
      </c>
      <c r="J497" s="134"/>
      <c r="K497" s="134"/>
      <c r="L497" s="134"/>
      <c r="M497" s="121"/>
      <c r="N497" s="134"/>
      <c r="O497" s="133"/>
      <c r="P497" s="133"/>
      <c r="Q497" s="97"/>
      <c r="R497" s="97"/>
      <c r="S497" s="97"/>
      <c r="T497" s="97"/>
      <c r="U497" s="97"/>
      <c r="V497" s="97"/>
      <c r="W497" s="97"/>
      <c r="X497" s="142"/>
      <c r="Y497" s="142"/>
      <c r="Z497" s="142"/>
    </row>
    <row r="498">
      <c r="A498" s="104"/>
      <c r="B498" s="121"/>
      <c r="C498" s="132">
        <f t="shared" si="174"/>
        <v>46011</v>
      </c>
      <c r="D498" s="133"/>
      <c r="E498" s="121"/>
      <c r="F498" s="134" t="str">
        <f t="shared" si="175"/>
        <v/>
      </c>
      <c r="G498" s="134"/>
      <c r="H498" s="121"/>
      <c r="I498" s="133">
        <f t="shared" si="173"/>
        <v>0</v>
      </c>
      <c r="J498" s="134"/>
      <c r="K498" s="134"/>
      <c r="L498" s="134"/>
      <c r="M498" s="121"/>
      <c r="N498" s="134"/>
      <c r="O498" s="133"/>
      <c r="P498" s="133"/>
      <c r="Q498" s="97"/>
      <c r="R498" s="97"/>
      <c r="S498" s="97"/>
      <c r="T498" s="97"/>
      <c r="U498" s="97"/>
      <c r="V498" s="97"/>
      <c r="W498" s="97"/>
      <c r="X498" s="142"/>
      <c r="Y498" s="142"/>
      <c r="Z498" s="142"/>
    </row>
    <row r="499">
      <c r="A499" s="104"/>
      <c r="B499" s="121"/>
      <c r="C499" s="135">
        <f t="shared" si="174"/>
        <v>46012</v>
      </c>
      <c r="D499" s="136"/>
      <c r="E499" s="121"/>
      <c r="F499" s="137" t="str">
        <f t="shared" si="175"/>
        <v/>
      </c>
      <c r="G499" s="137"/>
      <c r="H499" s="121"/>
      <c r="I499" s="136">
        <f t="shared" si="173"/>
        <v>0</v>
      </c>
      <c r="J499" s="137"/>
      <c r="K499" s="137"/>
      <c r="L499" s="137"/>
      <c r="M499" s="121"/>
      <c r="N499" s="137"/>
      <c r="O499" s="136"/>
      <c r="P499" s="137"/>
      <c r="Q499" s="97"/>
      <c r="R499" s="97"/>
      <c r="S499" s="97"/>
      <c r="T499" s="97"/>
      <c r="U499" s="97"/>
      <c r="V499" s="97"/>
      <c r="W499" s="97"/>
      <c r="X499" s="142"/>
      <c r="Y499" s="142"/>
      <c r="Z499" s="142"/>
    </row>
    <row r="500">
      <c r="A500" s="104"/>
      <c r="B500" s="138"/>
      <c r="C500" s="112" t="s">
        <v>51</v>
      </c>
      <c r="D500" s="116">
        <f>IFERROR(ROUND(AVERAGE(D493:D499),1),0)</f>
        <v>0</v>
      </c>
      <c r="E500" s="138"/>
      <c r="F500" s="115" t="s">
        <v>52</v>
      </c>
      <c r="G500" s="11"/>
      <c r="H500" s="138"/>
      <c r="I500" s="116">
        <f>IFERROR(ROUND(AVERAGEIF(I493:I499,"&lt;&gt;0"),0),0)</f>
        <v>0</v>
      </c>
      <c r="J500" s="116">
        <f t="shared" ref="J500:L500" si="176">IFERROR(ROUND(AVERAGE(J493:J499),0),0)</f>
        <v>0</v>
      </c>
      <c r="K500" s="116">
        <f t="shared" si="176"/>
        <v>0</v>
      </c>
      <c r="L500" s="116">
        <f t="shared" si="176"/>
        <v>0</v>
      </c>
      <c r="M500" s="138"/>
      <c r="N500" s="116">
        <f>IFERROR(ROUND(AVERAGE(N493:N499),0),0)</f>
        <v>0</v>
      </c>
      <c r="O500" s="116">
        <f>IFERROR(SUM(O493:O499),0)</f>
        <v>0</v>
      </c>
      <c r="P500" s="116">
        <f>IFERROR(COUNTA(P493:P499),0)</f>
        <v>0</v>
      </c>
      <c r="Q500" s="97"/>
      <c r="R500" s="97"/>
      <c r="S500" s="97"/>
      <c r="T500" s="97"/>
      <c r="U500" s="97"/>
      <c r="V500" s="97"/>
      <c r="W500" s="97"/>
      <c r="X500" s="142"/>
      <c r="Y500" s="142"/>
      <c r="Z500" s="142"/>
    </row>
    <row r="501">
      <c r="A501" s="97"/>
      <c r="B501" s="109"/>
      <c r="C501" s="97"/>
      <c r="D501" s="98"/>
      <c r="E501" s="140"/>
      <c r="F501" s="140"/>
      <c r="G501" s="140"/>
      <c r="H501" s="140"/>
      <c r="I501" s="140"/>
      <c r="J501" s="140"/>
      <c r="K501" s="140"/>
      <c r="L501" s="140"/>
      <c r="M501" s="140"/>
      <c r="N501" s="98"/>
      <c r="O501" s="98"/>
      <c r="P501" s="98"/>
      <c r="Q501" s="97"/>
      <c r="R501" s="97"/>
      <c r="S501" s="97"/>
      <c r="T501" s="97"/>
      <c r="U501" s="97"/>
      <c r="V501" s="97"/>
      <c r="W501" s="97"/>
      <c r="X501" s="142"/>
      <c r="Y501" s="142"/>
      <c r="Z501" s="142"/>
    </row>
    <row r="502">
      <c r="A502" s="97"/>
      <c r="B502" s="112" t="s">
        <v>30</v>
      </c>
      <c r="C502" s="112" t="s">
        <v>31</v>
      </c>
      <c r="D502" s="113" t="s">
        <v>408</v>
      </c>
      <c r="E502" s="114" t="s">
        <v>33</v>
      </c>
      <c r="F502" s="115" t="s">
        <v>409</v>
      </c>
      <c r="G502" s="11"/>
      <c r="H502" s="114" t="s">
        <v>35</v>
      </c>
      <c r="I502" s="113" t="s">
        <v>410</v>
      </c>
      <c r="J502" s="113" t="s">
        <v>411</v>
      </c>
      <c r="K502" s="113" t="s">
        <v>412</v>
      </c>
      <c r="L502" s="113" t="s">
        <v>413</v>
      </c>
      <c r="M502" s="114" t="s">
        <v>40</v>
      </c>
      <c r="N502" s="113" t="s">
        <v>25</v>
      </c>
      <c r="O502" s="116" t="s">
        <v>414</v>
      </c>
      <c r="P502" s="113" t="s">
        <v>415</v>
      </c>
      <c r="Q502" s="97"/>
      <c r="R502" s="97"/>
      <c r="S502" s="97"/>
      <c r="T502" s="97"/>
      <c r="U502" s="97"/>
      <c r="V502" s="97"/>
      <c r="W502" s="97"/>
      <c r="X502" s="142"/>
      <c r="Y502" s="142"/>
      <c r="Z502" s="142"/>
    </row>
    <row r="503">
      <c r="A503" s="104"/>
      <c r="B503" s="118">
        <f>B492+1</f>
        <v>46</v>
      </c>
      <c r="C503" s="119" t="s">
        <v>43</v>
      </c>
      <c r="D503" s="120" t="s">
        <v>44</v>
      </c>
      <c r="E503" s="121"/>
      <c r="F503" s="122" t="s">
        <v>45</v>
      </c>
      <c r="G503" s="11"/>
      <c r="H503" s="121"/>
      <c r="I503" s="123" t="s">
        <v>46</v>
      </c>
      <c r="J503" s="10"/>
      <c r="K503" s="10"/>
      <c r="L503" s="11"/>
      <c r="M503" s="121"/>
      <c r="N503" s="119"/>
      <c r="O503" s="119"/>
      <c r="P503" s="120"/>
      <c r="Q503" s="141"/>
      <c r="R503" s="141"/>
      <c r="S503" s="141"/>
      <c r="T503" s="141"/>
      <c r="U503" s="141"/>
      <c r="V503" s="141"/>
      <c r="W503" s="141"/>
      <c r="X503" s="142"/>
      <c r="Y503" s="142"/>
      <c r="Z503" s="142"/>
    </row>
    <row r="504">
      <c r="A504" s="104"/>
      <c r="B504" s="121"/>
      <c r="C504" s="126">
        <f>IF(ISBLANK($C$9),"",C499+1)</f>
        <v>46013</v>
      </c>
      <c r="D504" s="127"/>
      <c r="E504" s="121"/>
      <c r="F504" s="127" t="str">
        <f>IF(ISNUMBER(F499),F499+1,"")</f>
        <v/>
      </c>
      <c r="G504" s="128"/>
      <c r="H504" s="121"/>
      <c r="I504" s="127">
        <f t="shared" ref="I504:I510" si="177">J504*4+K504*4+L504*9</f>
        <v>0</v>
      </c>
      <c r="J504" s="127"/>
      <c r="K504" s="127"/>
      <c r="L504" s="127"/>
      <c r="M504" s="121"/>
      <c r="N504" s="128"/>
      <c r="O504" s="127"/>
      <c r="P504" s="127"/>
      <c r="Q504" s="97"/>
      <c r="R504" s="97"/>
      <c r="S504" s="97"/>
      <c r="T504" s="97"/>
      <c r="U504" s="97"/>
      <c r="V504" s="97"/>
      <c r="W504" s="97"/>
      <c r="X504" s="142"/>
      <c r="Y504" s="142"/>
      <c r="Z504" s="142"/>
    </row>
    <row r="505">
      <c r="A505" s="104"/>
      <c r="B505" s="121"/>
      <c r="C505" s="132">
        <f t="shared" ref="C505:C510" si="178">IF(ISBLANK($C$9),"",C504+1)</f>
        <v>46014</v>
      </c>
      <c r="D505" s="133"/>
      <c r="E505" s="121"/>
      <c r="F505" s="134" t="str">
        <f t="shared" ref="F505:F510" si="179">IF(ISNUMBER(F504),F504+1,"")</f>
        <v/>
      </c>
      <c r="G505" s="134"/>
      <c r="H505" s="121"/>
      <c r="I505" s="133">
        <f t="shared" si="177"/>
        <v>0</v>
      </c>
      <c r="J505" s="133"/>
      <c r="K505" s="133"/>
      <c r="L505" s="133"/>
      <c r="M505" s="121"/>
      <c r="N505" s="134"/>
      <c r="O505" s="133"/>
      <c r="P505" s="133"/>
      <c r="Q505" s="97"/>
      <c r="R505" s="97"/>
      <c r="S505" s="97"/>
      <c r="T505" s="97"/>
      <c r="U505" s="97"/>
      <c r="V505" s="97"/>
      <c r="W505" s="97"/>
      <c r="X505" s="142"/>
      <c r="Y505" s="142"/>
      <c r="Z505" s="142"/>
    </row>
    <row r="506">
      <c r="A506" s="104"/>
      <c r="B506" s="121"/>
      <c r="C506" s="132">
        <f t="shared" si="178"/>
        <v>46015</v>
      </c>
      <c r="D506" s="133"/>
      <c r="E506" s="121"/>
      <c r="F506" s="134" t="str">
        <f t="shared" si="179"/>
        <v/>
      </c>
      <c r="G506" s="134"/>
      <c r="H506" s="121"/>
      <c r="I506" s="133">
        <f t="shared" si="177"/>
        <v>0</v>
      </c>
      <c r="J506" s="133"/>
      <c r="K506" s="133"/>
      <c r="L506" s="133"/>
      <c r="M506" s="121"/>
      <c r="N506" s="134"/>
      <c r="O506" s="133"/>
      <c r="P506" s="133"/>
      <c r="Q506" s="97"/>
      <c r="R506" s="97"/>
      <c r="S506" s="97"/>
      <c r="T506" s="97"/>
      <c r="U506" s="97"/>
      <c r="V506" s="97"/>
      <c r="W506" s="97"/>
      <c r="X506" s="142"/>
      <c r="Y506" s="142"/>
      <c r="Z506" s="142"/>
    </row>
    <row r="507">
      <c r="A507" s="104"/>
      <c r="B507" s="121"/>
      <c r="C507" s="132">
        <f t="shared" si="178"/>
        <v>46016</v>
      </c>
      <c r="D507" s="133"/>
      <c r="E507" s="121"/>
      <c r="F507" s="134" t="str">
        <f t="shared" si="179"/>
        <v/>
      </c>
      <c r="G507" s="134"/>
      <c r="H507" s="121"/>
      <c r="I507" s="133">
        <f t="shared" si="177"/>
        <v>0</v>
      </c>
      <c r="J507" s="134"/>
      <c r="K507" s="134"/>
      <c r="L507" s="134"/>
      <c r="M507" s="121"/>
      <c r="N507" s="134"/>
      <c r="O507" s="133"/>
      <c r="P507" s="134"/>
      <c r="Q507" s="97"/>
      <c r="R507" s="97"/>
      <c r="S507" s="97"/>
      <c r="T507" s="97"/>
      <c r="U507" s="97"/>
      <c r="V507" s="97"/>
      <c r="W507" s="97"/>
      <c r="X507" s="142"/>
      <c r="Y507" s="142"/>
      <c r="Z507" s="142"/>
    </row>
    <row r="508">
      <c r="A508" s="104"/>
      <c r="B508" s="121"/>
      <c r="C508" s="132">
        <f t="shared" si="178"/>
        <v>46017</v>
      </c>
      <c r="D508" s="133"/>
      <c r="E508" s="121"/>
      <c r="F508" s="134" t="str">
        <f t="shared" si="179"/>
        <v/>
      </c>
      <c r="G508" s="134"/>
      <c r="H508" s="121"/>
      <c r="I508" s="133">
        <f t="shared" si="177"/>
        <v>0</v>
      </c>
      <c r="J508" s="134"/>
      <c r="K508" s="134"/>
      <c r="L508" s="134"/>
      <c r="M508" s="121"/>
      <c r="N508" s="134"/>
      <c r="O508" s="133"/>
      <c r="P508" s="133"/>
      <c r="Q508" s="97"/>
      <c r="R508" s="97"/>
      <c r="S508" s="97"/>
      <c r="T508" s="97"/>
      <c r="U508" s="97"/>
      <c r="V508" s="97"/>
      <c r="W508" s="97"/>
      <c r="X508" s="142"/>
      <c r="Y508" s="142"/>
      <c r="Z508" s="142"/>
    </row>
    <row r="509">
      <c r="A509" s="104"/>
      <c r="B509" s="121"/>
      <c r="C509" s="132">
        <f t="shared" si="178"/>
        <v>46018</v>
      </c>
      <c r="D509" s="133"/>
      <c r="E509" s="121"/>
      <c r="F509" s="134" t="str">
        <f t="shared" si="179"/>
        <v/>
      </c>
      <c r="G509" s="134"/>
      <c r="H509" s="121"/>
      <c r="I509" s="133">
        <f t="shared" si="177"/>
        <v>0</v>
      </c>
      <c r="J509" s="134"/>
      <c r="K509" s="134"/>
      <c r="L509" s="134"/>
      <c r="M509" s="121"/>
      <c r="N509" s="134"/>
      <c r="O509" s="133"/>
      <c r="P509" s="133"/>
      <c r="Q509" s="97"/>
      <c r="R509" s="97"/>
      <c r="S509" s="97"/>
      <c r="T509" s="97"/>
      <c r="U509" s="97"/>
      <c r="V509" s="97"/>
      <c r="W509" s="97"/>
      <c r="X509" s="142"/>
      <c r="Y509" s="142"/>
      <c r="Z509" s="142"/>
    </row>
    <row r="510">
      <c r="A510" s="104"/>
      <c r="B510" s="121"/>
      <c r="C510" s="135">
        <f t="shared" si="178"/>
        <v>46019</v>
      </c>
      <c r="D510" s="136"/>
      <c r="E510" s="121"/>
      <c r="F510" s="137" t="str">
        <f t="shared" si="179"/>
        <v/>
      </c>
      <c r="G510" s="137"/>
      <c r="H510" s="121"/>
      <c r="I510" s="136">
        <f t="shared" si="177"/>
        <v>0</v>
      </c>
      <c r="J510" s="137"/>
      <c r="K510" s="137"/>
      <c r="L510" s="137"/>
      <c r="M510" s="121"/>
      <c r="N510" s="137"/>
      <c r="O510" s="136"/>
      <c r="P510" s="137"/>
      <c r="Q510" s="97"/>
      <c r="R510" s="97"/>
      <c r="S510" s="97"/>
      <c r="T510" s="97"/>
      <c r="U510" s="97"/>
      <c r="V510" s="97"/>
      <c r="W510" s="97"/>
      <c r="X510" s="142"/>
      <c r="Y510" s="142"/>
      <c r="Z510" s="142"/>
    </row>
    <row r="511">
      <c r="A511" s="104"/>
      <c r="B511" s="138"/>
      <c r="C511" s="112" t="s">
        <v>51</v>
      </c>
      <c r="D511" s="116">
        <f>IFERROR(ROUND(AVERAGE(D504:D510),1),0)</f>
        <v>0</v>
      </c>
      <c r="E511" s="138"/>
      <c r="F511" s="115" t="s">
        <v>52</v>
      </c>
      <c r="G511" s="11"/>
      <c r="H511" s="138"/>
      <c r="I511" s="116">
        <f>IFERROR(ROUND(AVERAGEIF(I504:I510,"&lt;&gt;0"),0),0)</f>
        <v>0</v>
      </c>
      <c r="J511" s="116">
        <f t="shared" ref="J511:L511" si="180">IFERROR(ROUND(AVERAGE(J504:J510),0),0)</f>
        <v>0</v>
      </c>
      <c r="K511" s="116">
        <f t="shared" si="180"/>
        <v>0</v>
      </c>
      <c r="L511" s="116">
        <f t="shared" si="180"/>
        <v>0</v>
      </c>
      <c r="M511" s="138"/>
      <c r="N511" s="116">
        <f>IFERROR(ROUND(AVERAGE(N504:N510),0),0)</f>
        <v>0</v>
      </c>
      <c r="O511" s="116">
        <f>IFERROR(SUM(O504:O510),0)</f>
        <v>0</v>
      </c>
      <c r="P511" s="116">
        <f>IFERROR(COUNTA(P504:P510),0)</f>
        <v>0</v>
      </c>
      <c r="Q511" s="97"/>
      <c r="R511" s="97"/>
      <c r="S511" s="97"/>
      <c r="T511" s="97"/>
      <c r="U511" s="97"/>
      <c r="V511" s="97"/>
      <c r="W511" s="97"/>
      <c r="X511" s="142"/>
      <c r="Y511" s="142"/>
      <c r="Z511" s="142"/>
    </row>
    <row r="512">
      <c r="A512" s="97"/>
      <c r="B512" s="109"/>
      <c r="C512" s="97"/>
      <c r="D512" s="98"/>
      <c r="E512" s="140"/>
      <c r="F512" s="140"/>
      <c r="G512" s="140"/>
      <c r="H512" s="140"/>
      <c r="I512" s="140"/>
      <c r="J512" s="140"/>
      <c r="K512" s="140"/>
      <c r="L512" s="140"/>
      <c r="M512" s="140"/>
      <c r="N512" s="98"/>
      <c r="O512" s="98"/>
      <c r="P512" s="98"/>
      <c r="Q512" s="97"/>
      <c r="R512" s="97"/>
      <c r="S512" s="97"/>
      <c r="T512" s="97"/>
      <c r="U512" s="97"/>
      <c r="V512" s="97"/>
      <c r="W512" s="97"/>
      <c r="X512" s="142"/>
      <c r="Y512" s="142"/>
      <c r="Z512" s="142"/>
    </row>
    <row r="513">
      <c r="A513" s="97"/>
      <c r="B513" s="112" t="s">
        <v>30</v>
      </c>
      <c r="C513" s="112" t="s">
        <v>31</v>
      </c>
      <c r="D513" s="113" t="s">
        <v>416</v>
      </c>
      <c r="E513" s="114" t="s">
        <v>33</v>
      </c>
      <c r="F513" s="115" t="s">
        <v>417</v>
      </c>
      <c r="G513" s="11"/>
      <c r="H513" s="114" t="s">
        <v>35</v>
      </c>
      <c r="I513" s="113" t="s">
        <v>418</v>
      </c>
      <c r="J513" s="113" t="s">
        <v>419</v>
      </c>
      <c r="K513" s="113" t="s">
        <v>420</v>
      </c>
      <c r="L513" s="113" t="s">
        <v>421</v>
      </c>
      <c r="M513" s="114" t="s">
        <v>40</v>
      </c>
      <c r="N513" s="113" t="s">
        <v>25</v>
      </c>
      <c r="O513" s="116" t="s">
        <v>422</v>
      </c>
      <c r="P513" s="113" t="s">
        <v>423</v>
      </c>
      <c r="Q513" s="97"/>
      <c r="R513" s="97"/>
      <c r="S513" s="97"/>
      <c r="T513" s="97"/>
      <c r="U513" s="97"/>
      <c r="V513" s="97"/>
      <c r="W513" s="97"/>
      <c r="X513" s="142"/>
      <c r="Y513" s="142"/>
      <c r="Z513" s="142"/>
    </row>
    <row r="514">
      <c r="A514" s="104"/>
      <c r="B514" s="118">
        <f>B503+1</f>
        <v>47</v>
      </c>
      <c r="C514" s="119" t="s">
        <v>43</v>
      </c>
      <c r="D514" s="120" t="s">
        <v>44</v>
      </c>
      <c r="E514" s="121"/>
      <c r="F514" s="122" t="s">
        <v>45</v>
      </c>
      <c r="G514" s="11"/>
      <c r="H514" s="121"/>
      <c r="I514" s="123" t="s">
        <v>46</v>
      </c>
      <c r="J514" s="10"/>
      <c r="K514" s="10"/>
      <c r="L514" s="11"/>
      <c r="M514" s="121"/>
      <c r="N514" s="119"/>
      <c r="O514" s="119"/>
      <c r="P514" s="120"/>
      <c r="Q514" s="141"/>
      <c r="R514" s="141"/>
      <c r="S514" s="141"/>
      <c r="T514" s="141"/>
      <c r="U514" s="141"/>
      <c r="V514" s="141"/>
      <c r="W514" s="141"/>
      <c r="X514" s="142"/>
      <c r="Y514" s="142"/>
      <c r="Z514" s="142"/>
    </row>
    <row r="515">
      <c r="A515" s="104"/>
      <c r="B515" s="121"/>
      <c r="C515" s="126">
        <f>IF(ISBLANK($C$9),"",C510+1)</f>
        <v>46020</v>
      </c>
      <c r="D515" s="127"/>
      <c r="E515" s="121"/>
      <c r="F515" s="127" t="str">
        <f>IF(ISNUMBER(F510),F510+1,"")</f>
        <v/>
      </c>
      <c r="G515" s="128"/>
      <c r="H515" s="121"/>
      <c r="I515" s="127">
        <f t="shared" ref="I515:I521" si="181">J515*4+K515*4+L515*9</f>
        <v>0</v>
      </c>
      <c r="J515" s="127"/>
      <c r="K515" s="127"/>
      <c r="L515" s="127"/>
      <c r="M515" s="121"/>
      <c r="N515" s="128"/>
      <c r="O515" s="127"/>
      <c r="P515" s="127"/>
      <c r="Q515" s="97"/>
      <c r="R515" s="97"/>
      <c r="S515" s="97"/>
      <c r="T515" s="97"/>
      <c r="U515" s="97"/>
      <c r="V515" s="97"/>
      <c r="W515" s="97"/>
      <c r="X515" s="142"/>
      <c r="Y515" s="142"/>
      <c r="Z515" s="142"/>
    </row>
    <row r="516">
      <c r="A516" s="104"/>
      <c r="B516" s="121"/>
      <c r="C516" s="132">
        <f t="shared" ref="C516:C521" si="182">IF(ISBLANK($C$9),"",C515+1)</f>
        <v>46021</v>
      </c>
      <c r="D516" s="133"/>
      <c r="E516" s="121"/>
      <c r="F516" s="134" t="str">
        <f t="shared" ref="F516:F521" si="183">IF(ISNUMBER(F515),F515+1,"")</f>
        <v/>
      </c>
      <c r="G516" s="134"/>
      <c r="H516" s="121"/>
      <c r="I516" s="133">
        <f t="shared" si="181"/>
        <v>0</v>
      </c>
      <c r="J516" s="133"/>
      <c r="K516" s="133"/>
      <c r="L516" s="133"/>
      <c r="M516" s="121"/>
      <c r="N516" s="134"/>
      <c r="O516" s="133"/>
      <c r="P516" s="133"/>
      <c r="Q516" s="97"/>
      <c r="R516" s="97"/>
      <c r="S516" s="97"/>
      <c r="T516" s="97"/>
      <c r="U516" s="97"/>
      <c r="V516" s="97"/>
      <c r="W516" s="97"/>
      <c r="X516" s="142"/>
      <c r="Y516" s="142"/>
      <c r="Z516" s="142"/>
    </row>
    <row r="517">
      <c r="A517" s="104"/>
      <c r="B517" s="121"/>
      <c r="C517" s="132">
        <f t="shared" si="182"/>
        <v>46022</v>
      </c>
      <c r="D517" s="133"/>
      <c r="E517" s="121"/>
      <c r="F517" s="134" t="str">
        <f t="shared" si="183"/>
        <v/>
      </c>
      <c r="G517" s="134"/>
      <c r="H517" s="121"/>
      <c r="I517" s="133">
        <f t="shared" si="181"/>
        <v>0</v>
      </c>
      <c r="J517" s="133"/>
      <c r="K517" s="133"/>
      <c r="L517" s="133"/>
      <c r="M517" s="121"/>
      <c r="N517" s="134"/>
      <c r="O517" s="133"/>
      <c r="P517" s="133"/>
      <c r="Q517" s="97"/>
      <c r="R517" s="97"/>
      <c r="S517" s="97"/>
      <c r="T517" s="97"/>
      <c r="U517" s="97"/>
      <c r="V517" s="97"/>
      <c r="W517" s="97"/>
      <c r="X517" s="142"/>
      <c r="Y517" s="142"/>
      <c r="Z517" s="142"/>
    </row>
    <row r="518">
      <c r="A518" s="104"/>
      <c r="B518" s="121"/>
      <c r="C518" s="132">
        <f t="shared" si="182"/>
        <v>46023</v>
      </c>
      <c r="D518" s="133"/>
      <c r="E518" s="121"/>
      <c r="F518" s="134" t="str">
        <f t="shared" si="183"/>
        <v/>
      </c>
      <c r="G518" s="134"/>
      <c r="H518" s="121"/>
      <c r="I518" s="133">
        <f t="shared" si="181"/>
        <v>0</v>
      </c>
      <c r="J518" s="134"/>
      <c r="K518" s="134"/>
      <c r="L518" s="134"/>
      <c r="M518" s="121"/>
      <c r="N518" s="134"/>
      <c r="O518" s="133"/>
      <c r="P518" s="134"/>
      <c r="Q518" s="97"/>
      <c r="R518" s="97"/>
      <c r="S518" s="97"/>
      <c r="T518" s="97"/>
      <c r="U518" s="97"/>
      <c r="V518" s="97"/>
      <c r="W518" s="97"/>
      <c r="X518" s="142"/>
      <c r="Y518" s="142"/>
      <c r="Z518" s="142"/>
    </row>
    <row r="519">
      <c r="A519" s="104"/>
      <c r="B519" s="121"/>
      <c r="C519" s="132">
        <f t="shared" si="182"/>
        <v>46024</v>
      </c>
      <c r="D519" s="133"/>
      <c r="E519" s="121"/>
      <c r="F519" s="134" t="str">
        <f t="shared" si="183"/>
        <v/>
      </c>
      <c r="G519" s="134"/>
      <c r="H519" s="121"/>
      <c r="I519" s="133">
        <f t="shared" si="181"/>
        <v>0</v>
      </c>
      <c r="J519" s="134"/>
      <c r="K519" s="134"/>
      <c r="L519" s="134"/>
      <c r="M519" s="121"/>
      <c r="N519" s="134"/>
      <c r="O519" s="133"/>
      <c r="P519" s="133"/>
      <c r="Q519" s="97"/>
      <c r="R519" s="97"/>
      <c r="S519" s="97"/>
      <c r="T519" s="97"/>
      <c r="U519" s="97"/>
      <c r="V519" s="97"/>
      <c r="W519" s="97"/>
      <c r="X519" s="142"/>
      <c r="Y519" s="142"/>
      <c r="Z519" s="142"/>
    </row>
    <row r="520">
      <c r="A520" s="104"/>
      <c r="B520" s="121"/>
      <c r="C520" s="132">
        <f t="shared" si="182"/>
        <v>46025</v>
      </c>
      <c r="D520" s="133"/>
      <c r="E520" s="121"/>
      <c r="F520" s="134" t="str">
        <f t="shared" si="183"/>
        <v/>
      </c>
      <c r="G520" s="134"/>
      <c r="H520" s="121"/>
      <c r="I520" s="133">
        <f t="shared" si="181"/>
        <v>0</v>
      </c>
      <c r="J520" s="134"/>
      <c r="K520" s="134"/>
      <c r="L520" s="134"/>
      <c r="M520" s="121"/>
      <c r="N520" s="134"/>
      <c r="O520" s="133"/>
      <c r="P520" s="133"/>
      <c r="Q520" s="97"/>
      <c r="R520" s="97"/>
      <c r="S520" s="97"/>
      <c r="T520" s="97"/>
      <c r="U520" s="97"/>
      <c r="V520" s="97"/>
      <c r="W520" s="97"/>
      <c r="X520" s="142"/>
      <c r="Y520" s="142"/>
      <c r="Z520" s="142"/>
    </row>
    <row r="521">
      <c r="A521" s="104"/>
      <c r="B521" s="121"/>
      <c r="C521" s="135">
        <f t="shared" si="182"/>
        <v>46026</v>
      </c>
      <c r="D521" s="136"/>
      <c r="E521" s="121"/>
      <c r="F521" s="137" t="str">
        <f t="shared" si="183"/>
        <v/>
      </c>
      <c r="G521" s="137"/>
      <c r="H521" s="121"/>
      <c r="I521" s="136">
        <f t="shared" si="181"/>
        <v>0</v>
      </c>
      <c r="J521" s="137"/>
      <c r="K521" s="137"/>
      <c r="L521" s="137"/>
      <c r="M521" s="121"/>
      <c r="N521" s="137"/>
      <c r="O521" s="136"/>
      <c r="P521" s="137"/>
      <c r="Q521" s="97"/>
      <c r="R521" s="97"/>
      <c r="S521" s="97"/>
      <c r="T521" s="97"/>
      <c r="U521" s="97"/>
      <c r="V521" s="97"/>
      <c r="W521" s="97"/>
      <c r="X521" s="142"/>
      <c r="Y521" s="142"/>
      <c r="Z521" s="142"/>
    </row>
    <row r="522">
      <c r="A522" s="104"/>
      <c r="B522" s="138"/>
      <c r="C522" s="112" t="s">
        <v>51</v>
      </c>
      <c r="D522" s="116">
        <f>IFERROR(ROUND(AVERAGE(D515:D521),1),0)</f>
        <v>0</v>
      </c>
      <c r="E522" s="138"/>
      <c r="F522" s="115" t="s">
        <v>52</v>
      </c>
      <c r="G522" s="11"/>
      <c r="H522" s="138"/>
      <c r="I522" s="116">
        <f>IFERROR(ROUND(AVERAGEIF(I515:I521,"&lt;&gt;0"),0),0)</f>
        <v>0</v>
      </c>
      <c r="J522" s="116">
        <f t="shared" ref="J522:L522" si="184">IFERROR(ROUND(AVERAGE(J515:J521),0),0)</f>
        <v>0</v>
      </c>
      <c r="K522" s="116">
        <f t="shared" si="184"/>
        <v>0</v>
      </c>
      <c r="L522" s="116">
        <f t="shared" si="184"/>
        <v>0</v>
      </c>
      <c r="M522" s="138"/>
      <c r="N522" s="116">
        <f>IFERROR(ROUND(AVERAGE(N515:N521),0),0)</f>
        <v>0</v>
      </c>
      <c r="O522" s="116">
        <f>IFERROR(SUM(O515:O521),0)</f>
        <v>0</v>
      </c>
      <c r="P522" s="116">
        <f>IFERROR(COUNTA(P515:P521),0)</f>
        <v>0</v>
      </c>
      <c r="Q522" s="97"/>
      <c r="R522" s="97"/>
      <c r="S522" s="97"/>
      <c r="T522" s="97"/>
      <c r="U522" s="97"/>
      <c r="V522" s="97"/>
      <c r="W522" s="97"/>
      <c r="X522" s="142"/>
      <c r="Y522" s="142"/>
      <c r="Z522" s="142"/>
    </row>
    <row r="523">
      <c r="A523" s="97"/>
      <c r="B523" s="109"/>
      <c r="C523" s="97"/>
      <c r="D523" s="98"/>
      <c r="E523" s="140"/>
      <c r="F523" s="140"/>
      <c r="G523" s="140"/>
      <c r="H523" s="140"/>
      <c r="I523" s="140"/>
      <c r="J523" s="140"/>
      <c r="K523" s="140"/>
      <c r="L523" s="140"/>
      <c r="M523" s="140"/>
      <c r="N523" s="98"/>
      <c r="O523" s="98"/>
      <c r="P523" s="98"/>
      <c r="Q523" s="97"/>
      <c r="R523" s="97"/>
      <c r="S523" s="97"/>
      <c r="T523" s="97"/>
      <c r="U523" s="97"/>
      <c r="V523" s="97"/>
      <c r="W523" s="97"/>
      <c r="X523" s="142"/>
      <c r="Y523" s="142"/>
      <c r="Z523" s="142"/>
    </row>
    <row r="524">
      <c r="A524" s="97"/>
      <c r="B524" s="112" t="s">
        <v>30</v>
      </c>
      <c r="C524" s="112" t="s">
        <v>31</v>
      </c>
      <c r="D524" s="113" t="s">
        <v>424</v>
      </c>
      <c r="E524" s="114" t="s">
        <v>33</v>
      </c>
      <c r="F524" s="115" t="s">
        <v>425</v>
      </c>
      <c r="G524" s="11"/>
      <c r="H524" s="114" t="s">
        <v>35</v>
      </c>
      <c r="I524" s="113" t="s">
        <v>426</v>
      </c>
      <c r="J524" s="113" t="s">
        <v>427</v>
      </c>
      <c r="K524" s="113" t="s">
        <v>428</v>
      </c>
      <c r="L524" s="113" t="s">
        <v>429</v>
      </c>
      <c r="M524" s="114" t="s">
        <v>40</v>
      </c>
      <c r="N524" s="113" t="s">
        <v>25</v>
      </c>
      <c r="O524" s="116" t="s">
        <v>430</v>
      </c>
      <c r="P524" s="113" t="s">
        <v>431</v>
      </c>
      <c r="Q524" s="97"/>
      <c r="R524" s="97"/>
      <c r="S524" s="97"/>
      <c r="T524" s="97"/>
      <c r="U524" s="97"/>
      <c r="V524" s="97"/>
      <c r="W524" s="97"/>
      <c r="X524" s="142"/>
      <c r="Y524" s="142"/>
      <c r="Z524" s="142"/>
    </row>
    <row r="525">
      <c r="A525" s="104"/>
      <c r="B525" s="118">
        <f>B514+1</f>
        <v>48</v>
      </c>
      <c r="C525" s="119" t="s">
        <v>43</v>
      </c>
      <c r="D525" s="120" t="s">
        <v>44</v>
      </c>
      <c r="E525" s="121"/>
      <c r="F525" s="122" t="s">
        <v>45</v>
      </c>
      <c r="G525" s="11"/>
      <c r="H525" s="121"/>
      <c r="I525" s="123" t="s">
        <v>46</v>
      </c>
      <c r="J525" s="10"/>
      <c r="K525" s="10"/>
      <c r="L525" s="11"/>
      <c r="M525" s="121"/>
      <c r="N525" s="119"/>
      <c r="O525" s="119"/>
      <c r="P525" s="120"/>
      <c r="Q525" s="141"/>
      <c r="R525" s="141"/>
      <c r="S525" s="141"/>
      <c r="T525" s="141"/>
      <c r="U525" s="141"/>
      <c r="V525" s="141"/>
      <c r="W525" s="141"/>
      <c r="X525" s="142"/>
      <c r="Y525" s="142"/>
      <c r="Z525" s="142"/>
    </row>
    <row r="526">
      <c r="A526" s="104"/>
      <c r="B526" s="121"/>
      <c r="C526" s="126">
        <f>IF(ISBLANK($C$9),"",C521+1)</f>
        <v>46027</v>
      </c>
      <c r="D526" s="127"/>
      <c r="E526" s="121"/>
      <c r="F526" s="127" t="str">
        <f>IF(ISNUMBER(F521),F521+1,"")</f>
        <v/>
      </c>
      <c r="G526" s="128"/>
      <c r="H526" s="121"/>
      <c r="I526" s="127">
        <f t="shared" ref="I526:I532" si="185">J526*4+K526*4+L526*9</f>
        <v>0</v>
      </c>
      <c r="J526" s="127"/>
      <c r="K526" s="127"/>
      <c r="L526" s="127"/>
      <c r="M526" s="121"/>
      <c r="N526" s="128"/>
      <c r="O526" s="127"/>
      <c r="P526" s="127"/>
      <c r="Q526" s="97"/>
      <c r="R526" s="97"/>
      <c r="S526" s="97"/>
      <c r="T526" s="97"/>
      <c r="U526" s="97"/>
      <c r="V526" s="97"/>
      <c r="W526" s="97"/>
      <c r="X526" s="142"/>
      <c r="Y526" s="142"/>
      <c r="Z526" s="142"/>
    </row>
    <row r="527">
      <c r="A527" s="104"/>
      <c r="B527" s="121"/>
      <c r="C527" s="132">
        <f t="shared" ref="C527:C532" si="186">IF(ISBLANK($C$9),"",C526+1)</f>
        <v>46028</v>
      </c>
      <c r="D527" s="133"/>
      <c r="E527" s="121"/>
      <c r="F527" s="134" t="str">
        <f t="shared" ref="F527:F532" si="187">IF(ISNUMBER(F526),F526+1,"")</f>
        <v/>
      </c>
      <c r="G527" s="134"/>
      <c r="H527" s="121"/>
      <c r="I527" s="133">
        <f t="shared" si="185"/>
        <v>0</v>
      </c>
      <c r="J527" s="133"/>
      <c r="K527" s="133"/>
      <c r="L527" s="133"/>
      <c r="M527" s="121"/>
      <c r="N527" s="134"/>
      <c r="O527" s="133"/>
      <c r="P527" s="133"/>
      <c r="Q527" s="97"/>
      <c r="R527" s="97"/>
      <c r="S527" s="97"/>
      <c r="T527" s="97"/>
      <c r="U527" s="97"/>
      <c r="V527" s="97"/>
      <c r="W527" s="97"/>
      <c r="X527" s="142"/>
      <c r="Y527" s="142"/>
      <c r="Z527" s="142"/>
    </row>
    <row r="528">
      <c r="A528" s="104"/>
      <c r="B528" s="121"/>
      <c r="C528" s="132">
        <f t="shared" si="186"/>
        <v>46029</v>
      </c>
      <c r="D528" s="133"/>
      <c r="E528" s="121"/>
      <c r="F528" s="134" t="str">
        <f t="shared" si="187"/>
        <v/>
      </c>
      <c r="G528" s="134"/>
      <c r="H528" s="121"/>
      <c r="I528" s="133">
        <f t="shared" si="185"/>
        <v>0</v>
      </c>
      <c r="J528" s="133"/>
      <c r="K528" s="133"/>
      <c r="L528" s="133"/>
      <c r="M528" s="121"/>
      <c r="N528" s="134"/>
      <c r="O528" s="133"/>
      <c r="P528" s="133"/>
      <c r="Q528" s="97"/>
      <c r="R528" s="97"/>
      <c r="S528" s="97"/>
      <c r="T528" s="97"/>
      <c r="U528" s="97"/>
      <c r="V528" s="97"/>
      <c r="W528" s="97"/>
      <c r="X528" s="142"/>
      <c r="Y528" s="142"/>
      <c r="Z528" s="142"/>
    </row>
    <row r="529">
      <c r="A529" s="104"/>
      <c r="B529" s="121"/>
      <c r="C529" s="132">
        <f t="shared" si="186"/>
        <v>46030</v>
      </c>
      <c r="D529" s="133"/>
      <c r="E529" s="121"/>
      <c r="F529" s="134" t="str">
        <f t="shared" si="187"/>
        <v/>
      </c>
      <c r="G529" s="134"/>
      <c r="H529" s="121"/>
      <c r="I529" s="133">
        <f t="shared" si="185"/>
        <v>0</v>
      </c>
      <c r="J529" s="134"/>
      <c r="K529" s="134"/>
      <c r="L529" s="134"/>
      <c r="M529" s="121"/>
      <c r="N529" s="134"/>
      <c r="O529" s="133"/>
      <c r="P529" s="134"/>
      <c r="Q529" s="97"/>
      <c r="R529" s="97"/>
      <c r="S529" s="97"/>
      <c r="T529" s="97"/>
      <c r="U529" s="97"/>
      <c r="V529" s="97"/>
      <c r="W529" s="97"/>
      <c r="X529" s="142"/>
      <c r="Y529" s="142"/>
      <c r="Z529" s="142"/>
    </row>
    <row r="530">
      <c r="A530" s="104"/>
      <c r="B530" s="121"/>
      <c r="C530" s="132">
        <f t="shared" si="186"/>
        <v>46031</v>
      </c>
      <c r="D530" s="133"/>
      <c r="E530" s="121"/>
      <c r="F530" s="134" t="str">
        <f t="shared" si="187"/>
        <v/>
      </c>
      <c r="G530" s="134"/>
      <c r="H530" s="121"/>
      <c r="I530" s="133">
        <f t="shared" si="185"/>
        <v>0</v>
      </c>
      <c r="J530" s="134"/>
      <c r="K530" s="134"/>
      <c r="L530" s="134"/>
      <c r="M530" s="121"/>
      <c r="N530" s="134"/>
      <c r="O530" s="133"/>
      <c r="P530" s="133"/>
      <c r="Q530" s="97"/>
      <c r="R530" s="97"/>
      <c r="S530" s="97"/>
      <c r="T530" s="97"/>
      <c r="U530" s="97"/>
      <c r="V530" s="97"/>
      <c r="W530" s="97"/>
      <c r="X530" s="142"/>
      <c r="Y530" s="142"/>
      <c r="Z530" s="142"/>
    </row>
    <row r="531">
      <c r="A531" s="104"/>
      <c r="B531" s="121"/>
      <c r="C531" s="132">
        <f t="shared" si="186"/>
        <v>46032</v>
      </c>
      <c r="D531" s="133"/>
      <c r="E531" s="121"/>
      <c r="F531" s="134" t="str">
        <f t="shared" si="187"/>
        <v/>
      </c>
      <c r="G531" s="134"/>
      <c r="H531" s="121"/>
      <c r="I531" s="133">
        <f t="shared" si="185"/>
        <v>0</v>
      </c>
      <c r="J531" s="134"/>
      <c r="K531" s="134"/>
      <c r="L531" s="134"/>
      <c r="M531" s="121"/>
      <c r="N531" s="134"/>
      <c r="O531" s="133"/>
      <c r="P531" s="133"/>
      <c r="Q531" s="97"/>
      <c r="R531" s="97"/>
      <c r="S531" s="97"/>
      <c r="T531" s="97"/>
      <c r="U531" s="97"/>
      <c r="V531" s="97"/>
      <c r="W531" s="97"/>
      <c r="X531" s="142"/>
      <c r="Y531" s="142"/>
      <c r="Z531" s="142"/>
    </row>
    <row r="532">
      <c r="A532" s="104"/>
      <c r="B532" s="121"/>
      <c r="C532" s="135">
        <f t="shared" si="186"/>
        <v>46033</v>
      </c>
      <c r="D532" s="136"/>
      <c r="E532" s="121"/>
      <c r="F532" s="137" t="str">
        <f t="shared" si="187"/>
        <v/>
      </c>
      <c r="G532" s="137"/>
      <c r="H532" s="121"/>
      <c r="I532" s="136">
        <f t="shared" si="185"/>
        <v>0</v>
      </c>
      <c r="J532" s="137"/>
      <c r="K532" s="137"/>
      <c r="L532" s="137"/>
      <c r="M532" s="121"/>
      <c r="N532" s="137"/>
      <c r="O532" s="136"/>
      <c r="P532" s="137"/>
      <c r="Q532" s="97"/>
      <c r="R532" s="97"/>
      <c r="S532" s="97"/>
      <c r="T532" s="97"/>
      <c r="U532" s="97"/>
      <c r="V532" s="97"/>
      <c r="W532" s="97"/>
      <c r="X532" s="142"/>
      <c r="Y532" s="142"/>
      <c r="Z532" s="142"/>
    </row>
    <row r="533">
      <c r="A533" s="104"/>
      <c r="B533" s="138"/>
      <c r="C533" s="112" t="s">
        <v>51</v>
      </c>
      <c r="D533" s="116">
        <f>IFERROR(ROUND(AVERAGE(D526:D532),1),0)</f>
        <v>0</v>
      </c>
      <c r="E533" s="138"/>
      <c r="F533" s="115" t="s">
        <v>52</v>
      </c>
      <c r="G533" s="11"/>
      <c r="H533" s="138"/>
      <c r="I533" s="116">
        <f>IFERROR(ROUND(AVERAGEIF(I526:I532,"&lt;&gt;0"),0),0)</f>
        <v>0</v>
      </c>
      <c r="J533" s="116">
        <f t="shared" ref="J533:L533" si="188">IFERROR(ROUND(AVERAGE(J526:J532),0),0)</f>
        <v>0</v>
      </c>
      <c r="K533" s="116">
        <f t="shared" si="188"/>
        <v>0</v>
      </c>
      <c r="L533" s="116">
        <f t="shared" si="188"/>
        <v>0</v>
      </c>
      <c r="M533" s="138"/>
      <c r="N533" s="116">
        <f>IFERROR(ROUND(AVERAGE(N526:N532),0),0)</f>
        <v>0</v>
      </c>
      <c r="O533" s="116">
        <f>IFERROR(SUM(O526:O532),0)</f>
        <v>0</v>
      </c>
      <c r="P533" s="116">
        <f>IFERROR(COUNTA(P526:P532),0)</f>
        <v>0</v>
      </c>
      <c r="Q533" s="97"/>
      <c r="R533" s="97"/>
      <c r="S533" s="97"/>
      <c r="T533" s="97"/>
      <c r="U533" s="97"/>
      <c r="V533" s="97"/>
      <c r="W533" s="97"/>
      <c r="X533" s="142"/>
      <c r="Y533" s="142"/>
      <c r="Z533" s="142"/>
    </row>
    <row r="534">
      <c r="A534" s="97"/>
      <c r="B534" s="109"/>
      <c r="C534" s="97"/>
      <c r="D534" s="98"/>
      <c r="E534" s="140"/>
      <c r="F534" s="140"/>
      <c r="G534" s="140"/>
      <c r="H534" s="140"/>
      <c r="I534" s="140"/>
      <c r="J534" s="140"/>
      <c r="K534" s="140"/>
      <c r="L534" s="140"/>
      <c r="M534" s="140"/>
      <c r="N534" s="98"/>
      <c r="O534" s="98"/>
      <c r="P534" s="98"/>
      <c r="Q534" s="97"/>
      <c r="R534" s="97"/>
      <c r="S534" s="97"/>
      <c r="T534" s="97"/>
      <c r="U534" s="97"/>
      <c r="V534" s="97"/>
      <c r="W534" s="97"/>
      <c r="X534" s="142"/>
      <c r="Y534" s="142"/>
      <c r="Z534" s="142"/>
    </row>
    <row r="535">
      <c r="A535" s="97"/>
      <c r="B535" s="112" t="s">
        <v>30</v>
      </c>
      <c r="C535" s="112" t="s">
        <v>31</v>
      </c>
      <c r="D535" s="113" t="s">
        <v>432</v>
      </c>
      <c r="E535" s="114" t="s">
        <v>33</v>
      </c>
      <c r="F535" s="115" t="s">
        <v>433</v>
      </c>
      <c r="G535" s="11"/>
      <c r="H535" s="114" t="s">
        <v>35</v>
      </c>
      <c r="I535" s="113" t="s">
        <v>434</v>
      </c>
      <c r="J535" s="113" t="s">
        <v>435</v>
      </c>
      <c r="K535" s="113" t="s">
        <v>436</v>
      </c>
      <c r="L535" s="113" t="s">
        <v>437</v>
      </c>
      <c r="M535" s="114" t="s">
        <v>40</v>
      </c>
      <c r="N535" s="113" t="s">
        <v>25</v>
      </c>
      <c r="O535" s="116" t="s">
        <v>438</v>
      </c>
      <c r="P535" s="113" t="s">
        <v>439</v>
      </c>
      <c r="Q535" s="97"/>
      <c r="R535" s="97"/>
      <c r="S535" s="97"/>
      <c r="T535" s="97"/>
      <c r="U535" s="97"/>
      <c r="V535" s="97"/>
      <c r="W535" s="97"/>
      <c r="X535" s="142"/>
      <c r="Y535" s="142"/>
      <c r="Z535" s="142"/>
    </row>
    <row r="536">
      <c r="A536" s="104"/>
      <c r="B536" s="118">
        <f>B525+1</f>
        <v>49</v>
      </c>
      <c r="C536" s="119" t="s">
        <v>43</v>
      </c>
      <c r="D536" s="120" t="s">
        <v>44</v>
      </c>
      <c r="E536" s="121"/>
      <c r="F536" s="122" t="s">
        <v>45</v>
      </c>
      <c r="G536" s="11"/>
      <c r="H536" s="121"/>
      <c r="I536" s="123" t="s">
        <v>46</v>
      </c>
      <c r="J536" s="10"/>
      <c r="K536" s="10"/>
      <c r="L536" s="11"/>
      <c r="M536" s="121"/>
      <c r="N536" s="119"/>
      <c r="O536" s="119"/>
      <c r="P536" s="120"/>
      <c r="Q536" s="141"/>
      <c r="R536" s="141"/>
      <c r="S536" s="141"/>
      <c r="T536" s="141"/>
      <c r="U536" s="141"/>
      <c r="V536" s="141"/>
      <c r="W536" s="141"/>
      <c r="X536" s="142"/>
      <c r="Y536" s="142"/>
      <c r="Z536" s="142"/>
    </row>
    <row r="537">
      <c r="A537" s="104"/>
      <c r="B537" s="121"/>
      <c r="C537" s="126">
        <f>IF(ISBLANK($C$9),"",C532+1)</f>
        <v>46034</v>
      </c>
      <c r="D537" s="127"/>
      <c r="E537" s="121"/>
      <c r="F537" s="127" t="str">
        <f>IF(ISNUMBER(F532),F532+1,"")</f>
        <v/>
      </c>
      <c r="G537" s="128"/>
      <c r="H537" s="121"/>
      <c r="I537" s="127">
        <f t="shared" ref="I537:I543" si="189">J537*4+K537*4+L537*9</f>
        <v>0</v>
      </c>
      <c r="J537" s="127"/>
      <c r="K537" s="127"/>
      <c r="L537" s="127"/>
      <c r="M537" s="121"/>
      <c r="N537" s="128"/>
      <c r="O537" s="127"/>
      <c r="P537" s="127"/>
      <c r="Q537" s="97"/>
      <c r="R537" s="97"/>
      <c r="S537" s="97"/>
      <c r="T537" s="97"/>
      <c r="U537" s="97"/>
      <c r="V537" s="97"/>
      <c r="W537" s="97"/>
      <c r="X537" s="142"/>
      <c r="Y537" s="142"/>
      <c r="Z537" s="142"/>
    </row>
    <row r="538">
      <c r="A538" s="104"/>
      <c r="B538" s="121"/>
      <c r="C538" s="132">
        <f t="shared" ref="C538:C543" si="190">IF(ISBLANK($C$9),"",C537+1)</f>
        <v>46035</v>
      </c>
      <c r="D538" s="133"/>
      <c r="E538" s="121"/>
      <c r="F538" s="134" t="str">
        <f t="shared" ref="F538:F543" si="191">IF(ISNUMBER(F537),F537+1,"")</f>
        <v/>
      </c>
      <c r="G538" s="134"/>
      <c r="H538" s="121"/>
      <c r="I538" s="133">
        <f t="shared" si="189"/>
        <v>0</v>
      </c>
      <c r="J538" s="133"/>
      <c r="K538" s="133"/>
      <c r="L538" s="133"/>
      <c r="M538" s="121"/>
      <c r="N538" s="134"/>
      <c r="O538" s="133"/>
      <c r="P538" s="133"/>
      <c r="Q538" s="97"/>
      <c r="R538" s="97"/>
      <c r="S538" s="97"/>
      <c r="T538" s="97"/>
      <c r="U538" s="97"/>
      <c r="V538" s="97"/>
      <c r="W538" s="97"/>
      <c r="X538" s="142"/>
      <c r="Y538" s="142"/>
      <c r="Z538" s="142"/>
    </row>
    <row r="539">
      <c r="A539" s="104"/>
      <c r="B539" s="121"/>
      <c r="C539" s="132">
        <f t="shared" si="190"/>
        <v>46036</v>
      </c>
      <c r="D539" s="133"/>
      <c r="E539" s="121"/>
      <c r="F539" s="134" t="str">
        <f t="shared" si="191"/>
        <v/>
      </c>
      <c r="G539" s="134"/>
      <c r="H539" s="121"/>
      <c r="I539" s="133">
        <f t="shared" si="189"/>
        <v>0</v>
      </c>
      <c r="J539" s="133"/>
      <c r="K539" s="133"/>
      <c r="L539" s="133"/>
      <c r="M539" s="121"/>
      <c r="N539" s="134"/>
      <c r="O539" s="133"/>
      <c r="P539" s="133"/>
      <c r="Q539" s="97"/>
      <c r="R539" s="97"/>
      <c r="S539" s="97"/>
      <c r="T539" s="97"/>
      <c r="U539" s="97"/>
      <c r="V539" s="97"/>
      <c r="W539" s="97"/>
      <c r="X539" s="142"/>
      <c r="Y539" s="142"/>
      <c r="Z539" s="142"/>
    </row>
    <row r="540">
      <c r="A540" s="104"/>
      <c r="B540" s="121"/>
      <c r="C540" s="132">
        <f t="shared" si="190"/>
        <v>46037</v>
      </c>
      <c r="D540" s="133"/>
      <c r="E540" s="121"/>
      <c r="F540" s="134" t="str">
        <f t="shared" si="191"/>
        <v/>
      </c>
      <c r="G540" s="134"/>
      <c r="H540" s="121"/>
      <c r="I540" s="133">
        <f t="shared" si="189"/>
        <v>0</v>
      </c>
      <c r="J540" s="134"/>
      <c r="K540" s="134"/>
      <c r="L540" s="134"/>
      <c r="M540" s="121"/>
      <c r="N540" s="134"/>
      <c r="O540" s="133"/>
      <c r="P540" s="134"/>
      <c r="Q540" s="97"/>
      <c r="R540" s="97"/>
      <c r="S540" s="97"/>
      <c r="T540" s="97"/>
      <c r="U540" s="97"/>
      <c r="V540" s="97"/>
      <c r="W540" s="97"/>
      <c r="X540" s="142"/>
      <c r="Y540" s="142"/>
      <c r="Z540" s="142"/>
    </row>
    <row r="541">
      <c r="A541" s="104"/>
      <c r="B541" s="121"/>
      <c r="C541" s="132">
        <f t="shared" si="190"/>
        <v>46038</v>
      </c>
      <c r="D541" s="133"/>
      <c r="E541" s="121"/>
      <c r="F541" s="134" t="str">
        <f t="shared" si="191"/>
        <v/>
      </c>
      <c r="G541" s="134"/>
      <c r="H541" s="121"/>
      <c r="I541" s="133">
        <f t="shared" si="189"/>
        <v>0</v>
      </c>
      <c r="J541" s="134"/>
      <c r="K541" s="134"/>
      <c r="L541" s="134"/>
      <c r="M541" s="121"/>
      <c r="N541" s="134"/>
      <c r="O541" s="133"/>
      <c r="P541" s="133"/>
      <c r="Q541" s="97"/>
      <c r="R541" s="97"/>
      <c r="S541" s="97"/>
      <c r="T541" s="97"/>
      <c r="U541" s="97"/>
      <c r="V541" s="97"/>
      <c r="W541" s="97"/>
      <c r="X541" s="142"/>
      <c r="Y541" s="142"/>
      <c r="Z541" s="142"/>
    </row>
    <row r="542">
      <c r="A542" s="104"/>
      <c r="B542" s="121"/>
      <c r="C542" s="132">
        <f t="shared" si="190"/>
        <v>46039</v>
      </c>
      <c r="D542" s="133"/>
      <c r="E542" s="121"/>
      <c r="F542" s="134" t="str">
        <f t="shared" si="191"/>
        <v/>
      </c>
      <c r="G542" s="134"/>
      <c r="H542" s="121"/>
      <c r="I542" s="133">
        <f t="shared" si="189"/>
        <v>0</v>
      </c>
      <c r="J542" s="134"/>
      <c r="K542" s="134"/>
      <c r="L542" s="134"/>
      <c r="M542" s="121"/>
      <c r="N542" s="134"/>
      <c r="O542" s="133"/>
      <c r="P542" s="133"/>
      <c r="Q542" s="97"/>
      <c r="R542" s="97"/>
      <c r="S542" s="97"/>
      <c r="T542" s="97"/>
      <c r="U542" s="97"/>
      <c r="V542" s="97"/>
      <c r="W542" s="97"/>
      <c r="X542" s="142"/>
      <c r="Y542" s="142"/>
      <c r="Z542" s="142"/>
    </row>
    <row r="543">
      <c r="A543" s="104"/>
      <c r="B543" s="121"/>
      <c r="C543" s="135">
        <f t="shared" si="190"/>
        <v>46040</v>
      </c>
      <c r="D543" s="136"/>
      <c r="E543" s="121"/>
      <c r="F543" s="137" t="str">
        <f t="shared" si="191"/>
        <v/>
      </c>
      <c r="G543" s="137"/>
      <c r="H543" s="121"/>
      <c r="I543" s="136">
        <f t="shared" si="189"/>
        <v>0</v>
      </c>
      <c r="J543" s="137"/>
      <c r="K543" s="137"/>
      <c r="L543" s="137"/>
      <c r="M543" s="121"/>
      <c r="N543" s="137"/>
      <c r="O543" s="136"/>
      <c r="P543" s="137"/>
      <c r="Q543" s="97"/>
      <c r="R543" s="97"/>
      <c r="S543" s="97"/>
      <c r="T543" s="97"/>
      <c r="U543" s="97"/>
      <c r="V543" s="97"/>
      <c r="W543" s="97"/>
      <c r="X543" s="142"/>
      <c r="Y543" s="142"/>
      <c r="Z543" s="142"/>
    </row>
    <row r="544">
      <c r="A544" s="104"/>
      <c r="B544" s="138"/>
      <c r="C544" s="112" t="s">
        <v>51</v>
      </c>
      <c r="D544" s="116">
        <f>IFERROR(ROUND(AVERAGE(D537:D543),1),0)</f>
        <v>0</v>
      </c>
      <c r="E544" s="138"/>
      <c r="F544" s="115" t="s">
        <v>52</v>
      </c>
      <c r="G544" s="11"/>
      <c r="H544" s="138"/>
      <c r="I544" s="116">
        <f>IFERROR(ROUND(AVERAGEIF(I537:I543,"&lt;&gt;0"),0),0)</f>
        <v>0</v>
      </c>
      <c r="J544" s="116">
        <f t="shared" ref="J544:L544" si="192">IFERROR(ROUND(AVERAGE(J537:J543),0),0)</f>
        <v>0</v>
      </c>
      <c r="K544" s="116">
        <f t="shared" si="192"/>
        <v>0</v>
      </c>
      <c r="L544" s="116">
        <f t="shared" si="192"/>
        <v>0</v>
      </c>
      <c r="M544" s="138"/>
      <c r="N544" s="116">
        <f>IFERROR(ROUND(AVERAGE(N537:N543),0),0)</f>
        <v>0</v>
      </c>
      <c r="O544" s="116">
        <f>IFERROR(SUM(O537:O543),0)</f>
        <v>0</v>
      </c>
      <c r="P544" s="116">
        <f>IFERROR(COUNTA(P537:P543),0)</f>
        <v>0</v>
      </c>
      <c r="Q544" s="97"/>
      <c r="R544" s="97"/>
      <c r="S544" s="97"/>
      <c r="T544" s="97"/>
      <c r="U544" s="97"/>
      <c r="V544" s="97"/>
      <c r="W544" s="97"/>
      <c r="X544" s="142"/>
      <c r="Y544" s="142"/>
      <c r="Z544" s="142"/>
    </row>
    <row r="545">
      <c r="A545" s="97"/>
      <c r="B545" s="109"/>
      <c r="C545" s="97"/>
      <c r="D545" s="98"/>
      <c r="E545" s="140"/>
      <c r="F545" s="140"/>
      <c r="G545" s="140"/>
      <c r="H545" s="140"/>
      <c r="I545" s="140"/>
      <c r="J545" s="140"/>
      <c r="K545" s="140"/>
      <c r="L545" s="140"/>
      <c r="M545" s="140"/>
      <c r="N545" s="98"/>
      <c r="O545" s="98"/>
      <c r="P545" s="98"/>
      <c r="Q545" s="97"/>
      <c r="R545" s="97"/>
      <c r="S545" s="97"/>
      <c r="T545" s="97"/>
      <c r="U545" s="97"/>
      <c r="V545" s="97"/>
      <c r="W545" s="97"/>
      <c r="X545" s="142"/>
      <c r="Y545" s="142"/>
      <c r="Z545" s="142"/>
    </row>
    <row r="546">
      <c r="A546" s="97"/>
      <c r="B546" s="112" t="s">
        <v>30</v>
      </c>
      <c r="C546" s="112" t="s">
        <v>31</v>
      </c>
      <c r="D546" s="113" t="s">
        <v>440</v>
      </c>
      <c r="E546" s="114" t="s">
        <v>33</v>
      </c>
      <c r="F546" s="115" t="s">
        <v>441</v>
      </c>
      <c r="G546" s="11"/>
      <c r="H546" s="114" t="s">
        <v>35</v>
      </c>
      <c r="I546" s="113" t="s">
        <v>442</v>
      </c>
      <c r="J546" s="113" t="s">
        <v>443</v>
      </c>
      <c r="K546" s="113" t="s">
        <v>444</v>
      </c>
      <c r="L546" s="113" t="s">
        <v>445</v>
      </c>
      <c r="M546" s="114" t="s">
        <v>40</v>
      </c>
      <c r="N546" s="113" t="s">
        <v>25</v>
      </c>
      <c r="O546" s="116" t="s">
        <v>446</v>
      </c>
      <c r="P546" s="113" t="s">
        <v>447</v>
      </c>
      <c r="Q546" s="97"/>
      <c r="R546" s="97"/>
      <c r="S546" s="97"/>
      <c r="T546" s="97"/>
      <c r="U546" s="97"/>
      <c r="V546" s="97"/>
      <c r="W546" s="97"/>
      <c r="X546" s="142"/>
      <c r="Y546" s="142"/>
      <c r="Z546" s="142"/>
    </row>
    <row r="547">
      <c r="A547" s="104"/>
      <c r="B547" s="118">
        <f>B536+1</f>
        <v>50</v>
      </c>
      <c r="C547" s="119" t="s">
        <v>43</v>
      </c>
      <c r="D547" s="120" t="s">
        <v>44</v>
      </c>
      <c r="E547" s="121"/>
      <c r="F547" s="122" t="s">
        <v>45</v>
      </c>
      <c r="G547" s="11"/>
      <c r="H547" s="121"/>
      <c r="I547" s="123" t="s">
        <v>46</v>
      </c>
      <c r="J547" s="10"/>
      <c r="K547" s="10"/>
      <c r="L547" s="11"/>
      <c r="M547" s="121"/>
      <c r="N547" s="119"/>
      <c r="O547" s="119"/>
      <c r="P547" s="120"/>
      <c r="Q547" s="141"/>
      <c r="R547" s="141"/>
      <c r="S547" s="141"/>
      <c r="T547" s="141"/>
      <c r="U547" s="141"/>
      <c r="V547" s="141"/>
      <c r="W547" s="141"/>
      <c r="X547" s="142"/>
      <c r="Y547" s="142"/>
      <c r="Z547" s="142"/>
    </row>
    <row r="548">
      <c r="A548" s="104"/>
      <c r="B548" s="121"/>
      <c r="C548" s="126">
        <f>IF(ISBLANK($C$9),"",C543+1)</f>
        <v>46041</v>
      </c>
      <c r="D548" s="127"/>
      <c r="E548" s="121"/>
      <c r="F548" s="127" t="str">
        <f>IF(ISNUMBER(F543),F543+1,"")</f>
        <v/>
      </c>
      <c r="G548" s="128"/>
      <c r="H548" s="121"/>
      <c r="I548" s="127">
        <f t="shared" ref="I548:I554" si="193">J548*4+K548*4+L548*9</f>
        <v>0</v>
      </c>
      <c r="J548" s="127"/>
      <c r="K548" s="127"/>
      <c r="L548" s="127"/>
      <c r="M548" s="121"/>
      <c r="N548" s="128"/>
      <c r="O548" s="127"/>
      <c r="P548" s="127"/>
      <c r="Q548" s="97"/>
      <c r="R548" s="97"/>
      <c r="S548" s="97"/>
      <c r="T548" s="97"/>
      <c r="U548" s="97"/>
      <c r="V548" s="97"/>
      <c r="W548" s="97"/>
      <c r="X548" s="142"/>
      <c r="Y548" s="142"/>
      <c r="Z548" s="142"/>
    </row>
    <row r="549">
      <c r="A549" s="104"/>
      <c r="B549" s="121"/>
      <c r="C549" s="132">
        <f t="shared" ref="C549:C554" si="194">IF(ISBLANK($C$9),"",C548+1)</f>
        <v>46042</v>
      </c>
      <c r="D549" s="133"/>
      <c r="E549" s="121"/>
      <c r="F549" s="134" t="str">
        <f t="shared" ref="F549:F554" si="195">IF(ISNUMBER(F548),F548+1,"")</f>
        <v/>
      </c>
      <c r="G549" s="134"/>
      <c r="H549" s="121"/>
      <c r="I549" s="133">
        <f t="shared" si="193"/>
        <v>0</v>
      </c>
      <c r="J549" s="133"/>
      <c r="K549" s="133"/>
      <c r="L549" s="133"/>
      <c r="M549" s="121"/>
      <c r="N549" s="134"/>
      <c r="O549" s="133"/>
      <c r="P549" s="133"/>
      <c r="Q549" s="97"/>
      <c r="R549" s="97"/>
      <c r="S549" s="97"/>
      <c r="T549" s="97"/>
      <c r="U549" s="97"/>
      <c r="V549" s="97"/>
      <c r="W549" s="97"/>
      <c r="X549" s="142"/>
      <c r="Y549" s="142"/>
      <c r="Z549" s="142"/>
    </row>
    <row r="550">
      <c r="A550" s="104"/>
      <c r="B550" s="121"/>
      <c r="C550" s="132">
        <f t="shared" si="194"/>
        <v>46043</v>
      </c>
      <c r="D550" s="133"/>
      <c r="E550" s="121"/>
      <c r="F550" s="134" t="str">
        <f t="shared" si="195"/>
        <v/>
      </c>
      <c r="G550" s="134"/>
      <c r="H550" s="121"/>
      <c r="I550" s="133">
        <f t="shared" si="193"/>
        <v>0</v>
      </c>
      <c r="J550" s="133"/>
      <c r="K550" s="133"/>
      <c r="L550" s="133"/>
      <c r="M550" s="121"/>
      <c r="N550" s="134"/>
      <c r="O550" s="133"/>
      <c r="P550" s="133"/>
      <c r="Q550" s="97"/>
      <c r="R550" s="97"/>
      <c r="S550" s="97"/>
      <c r="T550" s="97"/>
      <c r="U550" s="97"/>
      <c r="V550" s="97"/>
      <c r="W550" s="97"/>
      <c r="X550" s="142"/>
      <c r="Y550" s="142"/>
      <c r="Z550" s="142"/>
    </row>
    <row r="551">
      <c r="A551" s="104"/>
      <c r="B551" s="121"/>
      <c r="C551" s="132">
        <f t="shared" si="194"/>
        <v>46044</v>
      </c>
      <c r="D551" s="133"/>
      <c r="E551" s="121"/>
      <c r="F551" s="134" t="str">
        <f t="shared" si="195"/>
        <v/>
      </c>
      <c r="G551" s="134"/>
      <c r="H551" s="121"/>
      <c r="I551" s="133">
        <f t="shared" si="193"/>
        <v>0</v>
      </c>
      <c r="J551" s="134"/>
      <c r="K551" s="134"/>
      <c r="L551" s="134"/>
      <c r="M551" s="121"/>
      <c r="N551" s="134"/>
      <c r="O551" s="133"/>
      <c r="P551" s="134"/>
      <c r="Q551" s="97"/>
      <c r="R551" s="97"/>
      <c r="S551" s="97"/>
      <c r="T551" s="97"/>
      <c r="U551" s="97"/>
      <c r="V551" s="97"/>
      <c r="W551" s="97"/>
      <c r="X551" s="142"/>
      <c r="Y551" s="142"/>
      <c r="Z551" s="142"/>
    </row>
    <row r="552">
      <c r="A552" s="104"/>
      <c r="B552" s="121"/>
      <c r="C552" s="132">
        <f t="shared" si="194"/>
        <v>46045</v>
      </c>
      <c r="D552" s="133"/>
      <c r="E552" s="121"/>
      <c r="F552" s="134" t="str">
        <f t="shared" si="195"/>
        <v/>
      </c>
      <c r="G552" s="134"/>
      <c r="H552" s="121"/>
      <c r="I552" s="133">
        <f t="shared" si="193"/>
        <v>0</v>
      </c>
      <c r="J552" s="134"/>
      <c r="K552" s="134"/>
      <c r="L552" s="134"/>
      <c r="M552" s="121"/>
      <c r="N552" s="134"/>
      <c r="O552" s="133"/>
      <c r="P552" s="133"/>
      <c r="Q552" s="97"/>
      <c r="R552" s="97"/>
      <c r="S552" s="97"/>
      <c r="T552" s="97"/>
      <c r="U552" s="97"/>
      <c r="V552" s="97"/>
      <c r="W552" s="97"/>
      <c r="X552" s="142"/>
      <c r="Y552" s="142"/>
      <c r="Z552" s="142"/>
    </row>
    <row r="553">
      <c r="A553" s="104"/>
      <c r="B553" s="121"/>
      <c r="C553" s="132">
        <f t="shared" si="194"/>
        <v>46046</v>
      </c>
      <c r="D553" s="133"/>
      <c r="E553" s="121"/>
      <c r="F553" s="134" t="str">
        <f t="shared" si="195"/>
        <v/>
      </c>
      <c r="G553" s="134"/>
      <c r="H553" s="121"/>
      <c r="I553" s="133">
        <f t="shared" si="193"/>
        <v>0</v>
      </c>
      <c r="J553" s="134"/>
      <c r="K553" s="134"/>
      <c r="L553" s="134"/>
      <c r="M553" s="121"/>
      <c r="N553" s="134"/>
      <c r="O553" s="133"/>
      <c r="P553" s="133"/>
      <c r="Q553" s="97"/>
      <c r="R553" s="97"/>
      <c r="S553" s="97"/>
      <c r="T553" s="97"/>
      <c r="U553" s="97"/>
      <c r="V553" s="97"/>
      <c r="W553" s="97"/>
      <c r="X553" s="142"/>
      <c r="Y553" s="142"/>
      <c r="Z553" s="142"/>
    </row>
    <row r="554">
      <c r="A554" s="104"/>
      <c r="B554" s="121"/>
      <c r="C554" s="135">
        <f t="shared" si="194"/>
        <v>46047</v>
      </c>
      <c r="D554" s="136"/>
      <c r="E554" s="121"/>
      <c r="F554" s="137" t="str">
        <f t="shared" si="195"/>
        <v/>
      </c>
      <c r="G554" s="137"/>
      <c r="H554" s="121"/>
      <c r="I554" s="136">
        <f t="shared" si="193"/>
        <v>0</v>
      </c>
      <c r="J554" s="137"/>
      <c r="K554" s="137"/>
      <c r="L554" s="137"/>
      <c r="M554" s="121"/>
      <c r="N554" s="137"/>
      <c r="O554" s="136"/>
      <c r="P554" s="137"/>
      <c r="Q554" s="97"/>
      <c r="R554" s="97"/>
      <c r="S554" s="97"/>
      <c r="T554" s="97"/>
      <c r="U554" s="97"/>
      <c r="V554" s="97"/>
      <c r="W554" s="97"/>
      <c r="X554" s="142"/>
      <c r="Y554" s="142"/>
      <c r="Z554" s="142"/>
    </row>
    <row r="555">
      <c r="A555" s="104"/>
      <c r="B555" s="138"/>
      <c r="C555" s="112" t="s">
        <v>51</v>
      </c>
      <c r="D555" s="116">
        <f>IFERROR(ROUND(AVERAGE(D548:D554),1),0)</f>
        <v>0</v>
      </c>
      <c r="E555" s="138"/>
      <c r="F555" s="115" t="s">
        <v>52</v>
      </c>
      <c r="G555" s="11"/>
      <c r="H555" s="138"/>
      <c r="I555" s="116">
        <f>IFERROR(ROUND(AVERAGEIF(I548:I554,"&lt;&gt;0"),0),0)</f>
        <v>0</v>
      </c>
      <c r="J555" s="116">
        <f t="shared" ref="J555:L555" si="196">IFERROR(ROUND(AVERAGE(J548:J554),0),0)</f>
        <v>0</v>
      </c>
      <c r="K555" s="116">
        <f t="shared" si="196"/>
        <v>0</v>
      </c>
      <c r="L555" s="116">
        <f t="shared" si="196"/>
        <v>0</v>
      </c>
      <c r="M555" s="138"/>
      <c r="N555" s="116">
        <f>IFERROR(ROUND(AVERAGE(N548:N554),0),0)</f>
        <v>0</v>
      </c>
      <c r="O555" s="116">
        <f>IFERROR(SUM(O548:O554),0)</f>
        <v>0</v>
      </c>
      <c r="P555" s="116">
        <f>IFERROR(COUNTA(P548:P554),0)</f>
        <v>0</v>
      </c>
      <c r="Q555" s="97"/>
      <c r="R555" s="97"/>
      <c r="S555" s="97"/>
      <c r="T555" s="97"/>
      <c r="U555" s="97"/>
      <c r="V555" s="97"/>
      <c r="W555" s="97"/>
      <c r="X555" s="142"/>
      <c r="Y555" s="142"/>
      <c r="Z555" s="142"/>
    </row>
    <row r="556">
      <c r="A556" s="97"/>
      <c r="B556" s="109"/>
      <c r="C556" s="97"/>
      <c r="D556" s="98"/>
      <c r="E556" s="140"/>
      <c r="F556" s="140"/>
      <c r="G556" s="140"/>
      <c r="H556" s="140"/>
      <c r="I556" s="140"/>
      <c r="J556" s="140"/>
      <c r="K556" s="140"/>
      <c r="L556" s="140"/>
      <c r="M556" s="140"/>
      <c r="N556" s="98"/>
      <c r="O556" s="98"/>
      <c r="P556" s="98"/>
      <c r="Q556" s="97"/>
      <c r="R556" s="97"/>
      <c r="S556" s="97"/>
      <c r="T556" s="97"/>
      <c r="U556" s="97"/>
      <c r="V556" s="97"/>
      <c r="W556" s="97"/>
      <c r="X556" s="142"/>
      <c r="Y556" s="142"/>
      <c r="Z556" s="142"/>
    </row>
    <row r="557">
      <c r="A557" s="97"/>
      <c r="B557" s="112" t="s">
        <v>30</v>
      </c>
      <c r="C557" s="112" t="s">
        <v>31</v>
      </c>
      <c r="D557" s="113" t="s">
        <v>448</v>
      </c>
      <c r="E557" s="114" t="s">
        <v>33</v>
      </c>
      <c r="F557" s="115" t="s">
        <v>449</v>
      </c>
      <c r="G557" s="11"/>
      <c r="H557" s="114" t="s">
        <v>35</v>
      </c>
      <c r="I557" s="113" t="s">
        <v>450</v>
      </c>
      <c r="J557" s="113" t="s">
        <v>451</v>
      </c>
      <c r="K557" s="113" t="s">
        <v>452</v>
      </c>
      <c r="L557" s="113" t="s">
        <v>453</v>
      </c>
      <c r="M557" s="114" t="s">
        <v>40</v>
      </c>
      <c r="N557" s="113" t="s">
        <v>25</v>
      </c>
      <c r="O557" s="116" t="s">
        <v>454</v>
      </c>
      <c r="P557" s="113" t="s">
        <v>455</v>
      </c>
      <c r="Q557" s="97"/>
      <c r="R557" s="97"/>
      <c r="S557" s="97"/>
      <c r="T557" s="97"/>
      <c r="U557" s="97"/>
      <c r="V557" s="97"/>
      <c r="W557" s="97"/>
      <c r="X557" s="142"/>
      <c r="Y557" s="142"/>
      <c r="Z557" s="142"/>
    </row>
    <row r="558">
      <c r="A558" s="104"/>
      <c r="B558" s="118">
        <f>B547+1</f>
        <v>51</v>
      </c>
      <c r="C558" s="119" t="s">
        <v>43</v>
      </c>
      <c r="D558" s="120" t="s">
        <v>44</v>
      </c>
      <c r="E558" s="121"/>
      <c r="F558" s="122" t="s">
        <v>45</v>
      </c>
      <c r="G558" s="11"/>
      <c r="H558" s="121"/>
      <c r="I558" s="123" t="s">
        <v>46</v>
      </c>
      <c r="J558" s="10"/>
      <c r="K558" s="10"/>
      <c r="L558" s="11"/>
      <c r="M558" s="121"/>
      <c r="N558" s="119"/>
      <c r="O558" s="119"/>
      <c r="P558" s="120"/>
      <c r="Q558" s="141"/>
      <c r="R558" s="141"/>
      <c r="S558" s="141"/>
      <c r="T558" s="141"/>
      <c r="U558" s="141"/>
      <c r="V558" s="141"/>
      <c r="W558" s="141"/>
      <c r="X558" s="142"/>
      <c r="Y558" s="142"/>
      <c r="Z558" s="142"/>
    </row>
    <row r="559">
      <c r="A559" s="104"/>
      <c r="B559" s="121"/>
      <c r="C559" s="126">
        <f>IF(ISBLANK($C$9),"",C554+1)</f>
        <v>46048</v>
      </c>
      <c r="D559" s="127"/>
      <c r="E559" s="121"/>
      <c r="F559" s="127" t="str">
        <f>IF(ISNUMBER(F554),F554+1,"")</f>
        <v/>
      </c>
      <c r="G559" s="128"/>
      <c r="H559" s="121"/>
      <c r="I559" s="127">
        <f t="shared" ref="I559:I565" si="197">J559*4+K559*4+L559*9</f>
        <v>0</v>
      </c>
      <c r="J559" s="127"/>
      <c r="K559" s="127"/>
      <c r="L559" s="127"/>
      <c r="M559" s="121"/>
      <c r="N559" s="128"/>
      <c r="O559" s="127"/>
      <c r="P559" s="127"/>
      <c r="Q559" s="97"/>
      <c r="R559" s="97"/>
      <c r="S559" s="97"/>
      <c r="T559" s="97"/>
      <c r="U559" s="97"/>
      <c r="V559" s="97"/>
      <c r="W559" s="97"/>
      <c r="X559" s="142"/>
      <c r="Y559" s="142"/>
      <c r="Z559" s="142"/>
    </row>
    <row r="560">
      <c r="A560" s="104"/>
      <c r="B560" s="121"/>
      <c r="C560" s="132">
        <f t="shared" ref="C560:C565" si="198">IF(ISBLANK($C$9),"",C559+1)</f>
        <v>46049</v>
      </c>
      <c r="D560" s="133"/>
      <c r="E560" s="121"/>
      <c r="F560" s="134" t="str">
        <f t="shared" ref="F560:F565" si="199">IF(ISNUMBER(F559),F559+1,"")</f>
        <v/>
      </c>
      <c r="G560" s="134"/>
      <c r="H560" s="121"/>
      <c r="I560" s="133">
        <f t="shared" si="197"/>
        <v>0</v>
      </c>
      <c r="J560" s="133"/>
      <c r="K560" s="133"/>
      <c r="L560" s="133"/>
      <c r="M560" s="121"/>
      <c r="N560" s="134"/>
      <c r="O560" s="133"/>
      <c r="P560" s="133"/>
      <c r="Q560" s="97"/>
      <c r="R560" s="97"/>
      <c r="S560" s="97"/>
      <c r="T560" s="97"/>
      <c r="U560" s="97"/>
      <c r="V560" s="97"/>
      <c r="W560" s="97"/>
      <c r="X560" s="142"/>
      <c r="Y560" s="142"/>
      <c r="Z560" s="142"/>
    </row>
    <row r="561">
      <c r="A561" s="104"/>
      <c r="B561" s="121"/>
      <c r="C561" s="132">
        <f t="shared" si="198"/>
        <v>46050</v>
      </c>
      <c r="D561" s="133"/>
      <c r="E561" s="121"/>
      <c r="F561" s="134" t="str">
        <f t="shared" si="199"/>
        <v/>
      </c>
      <c r="G561" s="134"/>
      <c r="H561" s="121"/>
      <c r="I561" s="133">
        <f t="shared" si="197"/>
        <v>0</v>
      </c>
      <c r="J561" s="133"/>
      <c r="K561" s="133"/>
      <c r="L561" s="133"/>
      <c r="M561" s="121"/>
      <c r="N561" s="134"/>
      <c r="O561" s="133"/>
      <c r="P561" s="133"/>
      <c r="Q561" s="97"/>
      <c r="R561" s="97"/>
      <c r="S561" s="97"/>
      <c r="T561" s="97"/>
      <c r="U561" s="97"/>
      <c r="V561" s="97"/>
      <c r="W561" s="97"/>
      <c r="X561" s="142"/>
      <c r="Y561" s="142"/>
      <c r="Z561" s="142"/>
    </row>
    <row r="562">
      <c r="A562" s="104"/>
      <c r="B562" s="121"/>
      <c r="C562" s="132">
        <f t="shared" si="198"/>
        <v>46051</v>
      </c>
      <c r="D562" s="133"/>
      <c r="E562" s="121"/>
      <c r="F562" s="134" t="str">
        <f t="shared" si="199"/>
        <v/>
      </c>
      <c r="G562" s="134"/>
      <c r="H562" s="121"/>
      <c r="I562" s="133">
        <f t="shared" si="197"/>
        <v>0</v>
      </c>
      <c r="J562" s="134"/>
      <c r="K562" s="134"/>
      <c r="L562" s="134"/>
      <c r="M562" s="121"/>
      <c r="N562" s="134"/>
      <c r="O562" s="133"/>
      <c r="P562" s="134"/>
      <c r="Q562" s="97"/>
      <c r="R562" s="97"/>
      <c r="S562" s="97"/>
      <c r="T562" s="97"/>
      <c r="U562" s="97"/>
      <c r="V562" s="97"/>
      <c r="W562" s="97"/>
      <c r="X562" s="142"/>
      <c r="Y562" s="142"/>
      <c r="Z562" s="142"/>
    </row>
    <row r="563">
      <c r="A563" s="104"/>
      <c r="B563" s="121"/>
      <c r="C563" s="132">
        <f t="shared" si="198"/>
        <v>46052</v>
      </c>
      <c r="D563" s="133"/>
      <c r="E563" s="121"/>
      <c r="F563" s="134" t="str">
        <f t="shared" si="199"/>
        <v/>
      </c>
      <c r="G563" s="134"/>
      <c r="H563" s="121"/>
      <c r="I563" s="133">
        <f t="shared" si="197"/>
        <v>0</v>
      </c>
      <c r="J563" s="134"/>
      <c r="K563" s="134"/>
      <c r="L563" s="134"/>
      <c r="M563" s="121"/>
      <c r="N563" s="134"/>
      <c r="O563" s="133"/>
      <c r="P563" s="133"/>
      <c r="Q563" s="97"/>
      <c r="R563" s="97"/>
      <c r="S563" s="97"/>
      <c r="T563" s="97"/>
      <c r="U563" s="97"/>
      <c r="V563" s="97"/>
      <c r="W563" s="97"/>
      <c r="X563" s="142"/>
      <c r="Y563" s="142"/>
      <c r="Z563" s="142"/>
    </row>
    <row r="564">
      <c r="A564" s="104"/>
      <c r="B564" s="121"/>
      <c r="C564" s="132">
        <f t="shared" si="198"/>
        <v>46053</v>
      </c>
      <c r="D564" s="133"/>
      <c r="E564" s="121"/>
      <c r="F564" s="134" t="str">
        <f t="shared" si="199"/>
        <v/>
      </c>
      <c r="G564" s="134"/>
      <c r="H564" s="121"/>
      <c r="I564" s="133">
        <f t="shared" si="197"/>
        <v>0</v>
      </c>
      <c r="J564" s="134"/>
      <c r="K564" s="134"/>
      <c r="L564" s="134"/>
      <c r="M564" s="121"/>
      <c r="N564" s="134"/>
      <c r="O564" s="133"/>
      <c r="P564" s="133"/>
      <c r="Q564" s="97"/>
      <c r="R564" s="97"/>
      <c r="S564" s="97"/>
      <c r="T564" s="97"/>
      <c r="U564" s="97"/>
      <c r="V564" s="97"/>
      <c r="W564" s="97"/>
      <c r="X564" s="142"/>
      <c r="Y564" s="142"/>
      <c r="Z564" s="142"/>
    </row>
    <row r="565">
      <c r="A565" s="104"/>
      <c r="B565" s="121"/>
      <c r="C565" s="135">
        <f t="shared" si="198"/>
        <v>46054</v>
      </c>
      <c r="D565" s="136"/>
      <c r="E565" s="121"/>
      <c r="F565" s="137" t="str">
        <f t="shared" si="199"/>
        <v/>
      </c>
      <c r="G565" s="137"/>
      <c r="H565" s="121"/>
      <c r="I565" s="136">
        <f t="shared" si="197"/>
        <v>0</v>
      </c>
      <c r="J565" s="137"/>
      <c r="K565" s="137"/>
      <c r="L565" s="137"/>
      <c r="M565" s="121"/>
      <c r="N565" s="137"/>
      <c r="O565" s="136"/>
      <c r="P565" s="137"/>
      <c r="Q565" s="97"/>
      <c r="R565" s="97"/>
      <c r="S565" s="97"/>
      <c r="T565" s="97"/>
      <c r="U565" s="97"/>
      <c r="V565" s="97"/>
      <c r="W565" s="97"/>
      <c r="X565" s="142"/>
      <c r="Y565" s="142"/>
      <c r="Z565" s="142"/>
    </row>
    <row r="566">
      <c r="A566" s="104"/>
      <c r="B566" s="138"/>
      <c r="C566" s="112" t="s">
        <v>51</v>
      </c>
      <c r="D566" s="116">
        <f>IFERROR(ROUND(AVERAGE(D559:D565),1),0)</f>
        <v>0</v>
      </c>
      <c r="E566" s="138"/>
      <c r="F566" s="115" t="s">
        <v>52</v>
      </c>
      <c r="G566" s="11"/>
      <c r="H566" s="138"/>
      <c r="I566" s="116">
        <f>IFERROR(ROUND(AVERAGEIF(I559:I565,"&lt;&gt;0"),0),0)</f>
        <v>0</v>
      </c>
      <c r="J566" s="116">
        <f t="shared" ref="J566:L566" si="200">IFERROR(ROUND(AVERAGE(J559:J565),0),0)</f>
        <v>0</v>
      </c>
      <c r="K566" s="116">
        <f t="shared" si="200"/>
        <v>0</v>
      </c>
      <c r="L566" s="116">
        <f t="shared" si="200"/>
        <v>0</v>
      </c>
      <c r="M566" s="138"/>
      <c r="N566" s="116">
        <f>IFERROR(ROUND(AVERAGE(N559:N565),0),0)</f>
        <v>0</v>
      </c>
      <c r="O566" s="116">
        <f>IFERROR(SUM(O559:O565),0)</f>
        <v>0</v>
      </c>
      <c r="P566" s="116">
        <f>IFERROR(COUNTA(P559:P565),0)</f>
        <v>0</v>
      </c>
      <c r="Q566" s="97"/>
      <c r="R566" s="97"/>
      <c r="S566" s="97"/>
      <c r="T566" s="97"/>
      <c r="U566" s="97"/>
      <c r="V566" s="97"/>
      <c r="W566" s="97"/>
      <c r="X566" s="142"/>
      <c r="Y566" s="142"/>
      <c r="Z566" s="142"/>
    </row>
    <row r="567">
      <c r="A567" s="97"/>
      <c r="B567" s="109"/>
      <c r="C567" s="97"/>
      <c r="D567" s="98"/>
      <c r="E567" s="140"/>
      <c r="F567" s="140"/>
      <c r="G567" s="140"/>
      <c r="H567" s="140"/>
      <c r="I567" s="140"/>
      <c r="J567" s="140"/>
      <c r="K567" s="140"/>
      <c r="L567" s="140"/>
      <c r="M567" s="140"/>
      <c r="N567" s="98"/>
      <c r="O567" s="98"/>
      <c r="P567" s="98"/>
      <c r="Q567" s="97"/>
      <c r="R567" s="97"/>
      <c r="S567" s="97"/>
      <c r="T567" s="97"/>
      <c r="U567" s="97"/>
      <c r="V567" s="97"/>
      <c r="W567" s="97"/>
      <c r="X567" s="142"/>
      <c r="Y567" s="142"/>
      <c r="Z567" s="142"/>
    </row>
    <row r="568">
      <c r="A568" s="97"/>
      <c r="B568" s="112" t="s">
        <v>30</v>
      </c>
      <c r="C568" s="112" t="s">
        <v>31</v>
      </c>
      <c r="D568" s="113" t="s">
        <v>456</v>
      </c>
      <c r="E568" s="114" t="s">
        <v>33</v>
      </c>
      <c r="F568" s="115" t="s">
        <v>457</v>
      </c>
      <c r="G568" s="11"/>
      <c r="H568" s="114" t="s">
        <v>35</v>
      </c>
      <c r="I568" s="113" t="s">
        <v>458</v>
      </c>
      <c r="J568" s="113" t="s">
        <v>459</v>
      </c>
      <c r="K568" s="113" t="s">
        <v>460</v>
      </c>
      <c r="L568" s="113" t="s">
        <v>461</v>
      </c>
      <c r="M568" s="114" t="s">
        <v>40</v>
      </c>
      <c r="N568" s="113" t="s">
        <v>25</v>
      </c>
      <c r="O568" s="116" t="s">
        <v>462</v>
      </c>
      <c r="P568" s="113" t="s">
        <v>463</v>
      </c>
      <c r="Q568" s="97"/>
      <c r="R568" s="97"/>
      <c r="S568" s="97"/>
      <c r="T568" s="97"/>
      <c r="U568" s="97"/>
      <c r="V568" s="97"/>
      <c r="W568" s="97"/>
      <c r="X568" s="142"/>
      <c r="Y568" s="142"/>
      <c r="Z568" s="142"/>
    </row>
    <row r="569">
      <c r="A569" s="104"/>
      <c r="B569" s="118">
        <f>B558+1</f>
        <v>52</v>
      </c>
      <c r="C569" s="119" t="s">
        <v>43</v>
      </c>
      <c r="D569" s="120" t="s">
        <v>44</v>
      </c>
      <c r="E569" s="121"/>
      <c r="F569" s="122" t="s">
        <v>45</v>
      </c>
      <c r="G569" s="11"/>
      <c r="H569" s="121"/>
      <c r="I569" s="123" t="s">
        <v>46</v>
      </c>
      <c r="J569" s="10"/>
      <c r="K569" s="10"/>
      <c r="L569" s="11"/>
      <c r="M569" s="121"/>
      <c r="N569" s="119"/>
      <c r="O569" s="119"/>
      <c r="P569" s="120"/>
      <c r="Q569" s="141"/>
      <c r="R569" s="141"/>
      <c r="S569" s="141"/>
      <c r="T569" s="141"/>
      <c r="U569" s="141"/>
      <c r="V569" s="141"/>
      <c r="W569" s="141"/>
      <c r="X569" s="142"/>
      <c r="Y569" s="142"/>
      <c r="Z569" s="142"/>
    </row>
    <row r="570">
      <c r="A570" s="104"/>
      <c r="B570" s="121"/>
      <c r="C570" s="126">
        <f>IF(ISBLANK($C$9),"",C565+1)</f>
        <v>46055</v>
      </c>
      <c r="D570" s="127"/>
      <c r="E570" s="121"/>
      <c r="F570" s="127" t="str">
        <f>IF(ISNUMBER(F565),F565+1,"")</f>
        <v/>
      </c>
      <c r="G570" s="128"/>
      <c r="H570" s="121"/>
      <c r="I570" s="127">
        <f t="shared" ref="I570:I576" si="201">J570*4+K570*4+L570*9</f>
        <v>0</v>
      </c>
      <c r="J570" s="127"/>
      <c r="K570" s="127"/>
      <c r="L570" s="127"/>
      <c r="M570" s="121"/>
      <c r="N570" s="128"/>
      <c r="O570" s="127"/>
      <c r="P570" s="127"/>
      <c r="Q570" s="97"/>
      <c r="R570" s="97"/>
      <c r="S570" s="97"/>
      <c r="T570" s="97"/>
      <c r="U570" s="97"/>
      <c r="V570" s="97"/>
      <c r="W570" s="97"/>
      <c r="X570" s="142"/>
      <c r="Y570" s="142"/>
      <c r="Z570" s="142"/>
    </row>
    <row r="571">
      <c r="A571" s="104"/>
      <c r="B571" s="121"/>
      <c r="C571" s="132">
        <f t="shared" ref="C571:C576" si="202">IF(ISBLANK($C$9),"",C570+1)</f>
        <v>46056</v>
      </c>
      <c r="D571" s="133"/>
      <c r="E571" s="121"/>
      <c r="F571" s="134" t="str">
        <f t="shared" ref="F571:F576" si="203">IF(ISNUMBER(F570),F570+1,"")</f>
        <v/>
      </c>
      <c r="G571" s="134"/>
      <c r="H571" s="121"/>
      <c r="I571" s="133">
        <f t="shared" si="201"/>
        <v>0</v>
      </c>
      <c r="J571" s="133"/>
      <c r="K571" s="133"/>
      <c r="L571" s="133"/>
      <c r="M571" s="121"/>
      <c r="N571" s="134"/>
      <c r="O571" s="133"/>
      <c r="P571" s="133"/>
      <c r="Q571" s="97"/>
      <c r="R571" s="97"/>
      <c r="S571" s="97"/>
      <c r="T571" s="97"/>
      <c r="U571" s="97"/>
      <c r="V571" s="97"/>
      <c r="W571" s="97"/>
      <c r="X571" s="142"/>
      <c r="Y571" s="142"/>
      <c r="Z571" s="142"/>
    </row>
    <row r="572">
      <c r="A572" s="104"/>
      <c r="B572" s="121"/>
      <c r="C572" s="132">
        <f t="shared" si="202"/>
        <v>46057</v>
      </c>
      <c r="D572" s="133"/>
      <c r="E572" s="121"/>
      <c r="F572" s="134" t="str">
        <f t="shared" si="203"/>
        <v/>
      </c>
      <c r="G572" s="134"/>
      <c r="H572" s="121"/>
      <c r="I572" s="133">
        <f t="shared" si="201"/>
        <v>0</v>
      </c>
      <c r="J572" s="133"/>
      <c r="K572" s="133"/>
      <c r="L572" s="133"/>
      <c r="M572" s="121"/>
      <c r="N572" s="134"/>
      <c r="O572" s="133"/>
      <c r="P572" s="133"/>
      <c r="Q572" s="97"/>
      <c r="R572" s="97"/>
      <c r="S572" s="97"/>
      <c r="T572" s="97"/>
      <c r="U572" s="97"/>
      <c r="V572" s="97"/>
      <c r="W572" s="97"/>
      <c r="X572" s="142"/>
      <c r="Y572" s="142"/>
      <c r="Z572" s="142"/>
    </row>
    <row r="573">
      <c r="A573" s="104"/>
      <c r="B573" s="121"/>
      <c r="C573" s="132">
        <f t="shared" si="202"/>
        <v>46058</v>
      </c>
      <c r="D573" s="133"/>
      <c r="E573" s="121"/>
      <c r="F573" s="134" t="str">
        <f t="shared" si="203"/>
        <v/>
      </c>
      <c r="G573" s="134"/>
      <c r="H573" s="121"/>
      <c r="I573" s="133">
        <f t="shared" si="201"/>
        <v>0</v>
      </c>
      <c r="J573" s="134"/>
      <c r="K573" s="134"/>
      <c r="L573" s="134"/>
      <c r="M573" s="121"/>
      <c r="N573" s="134"/>
      <c r="O573" s="133"/>
      <c r="P573" s="134"/>
      <c r="Q573" s="97"/>
      <c r="R573" s="97"/>
      <c r="S573" s="97"/>
      <c r="T573" s="97"/>
      <c r="U573" s="97"/>
      <c r="V573" s="97"/>
      <c r="W573" s="97"/>
      <c r="X573" s="142"/>
      <c r="Y573" s="142"/>
      <c r="Z573" s="142"/>
    </row>
    <row r="574">
      <c r="A574" s="104"/>
      <c r="B574" s="121"/>
      <c r="C574" s="132">
        <f t="shared" si="202"/>
        <v>46059</v>
      </c>
      <c r="D574" s="133"/>
      <c r="E574" s="121"/>
      <c r="F574" s="134" t="str">
        <f t="shared" si="203"/>
        <v/>
      </c>
      <c r="G574" s="134"/>
      <c r="H574" s="121"/>
      <c r="I574" s="133">
        <f t="shared" si="201"/>
        <v>0</v>
      </c>
      <c r="J574" s="134"/>
      <c r="K574" s="134"/>
      <c r="L574" s="134"/>
      <c r="M574" s="121"/>
      <c r="N574" s="134"/>
      <c r="O574" s="133"/>
      <c r="P574" s="133"/>
      <c r="Q574" s="97"/>
      <c r="R574" s="97"/>
      <c r="S574" s="97"/>
      <c r="T574" s="97"/>
      <c r="U574" s="97"/>
      <c r="V574" s="97"/>
      <c r="W574" s="97"/>
      <c r="X574" s="142"/>
      <c r="Y574" s="142"/>
      <c r="Z574" s="142"/>
    </row>
    <row r="575">
      <c r="A575" s="104"/>
      <c r="B575" s="121"/>
      <c r="C575" s="132">
        <f t="shared" si="202"/>
        <v>46060</v>
      </c>
      <c r="D575" s="133"/>
      <c r="E575" s="121"/>
      <c r="F575" s="134" t="str">
        <f t="shared" si="203"/>
        <v/>
      </c>
      <c r="G575" s="134"/>
      <c r="H575" s="121"/>
      <c r="I575" s="133">
        <f t="shared" si="201"/>
        <v>0</v>
      </c>
      <c r="J575" s="134"/>
      <c r="K575" s="134"/>
      <c r="L575" s="134"/>
      <c r="M575" s="121"/>
      <c r="N575" s="134"/>
      <c r="O575" s="133"/>
      <c r="P575" s="133"/>
      <c r="Q575" s="97"/>
      <c r="R575" s="97"/>
      <c r="S575" s="97"/>
      <c r="T575" s="97"/>
      <c r="U575" s="97"/>
      <c r="V575" s="97"/>
      <c r="W575" s="97"/>
      <c r="X575" s="142"/>
      <c r="Y575" s="142"/>
      <c r="Z575" s="142"/>
    </row>
    <row r="576">
      <c r="A576" s="104"/>
      <c r="B576" s="121"/>
      <c r="C576" s="135">
        <f t="shared" si="202"/>
        <v>46061</v>
      </c>
      <c r="D576" s="136"/>
      <c r="E576" s="121"/>
      <c r="F576" s="137" t="str">
        <f t="shared" si="203"/>
        <v/>
      </c>
      <c r="G576" s="137"/>
      <c r="H576" s="121"/>
      <c r="I576" s="136">
        <f t="shared" si="201"/>
        <v>0</v>
      </c>
      <c r="J576" s="137"/>
      <c r="K576" s="137"/>
      <c r="L576" s="137"/>
      <c r="M576" s="121"/>
      <c r="N576" s="137"/>
      <c r="O576" s="136"/>
      <c r="P576" s="137"/>
      <c r="Q576" s="97"/>
      <c r="R576" s="97"/>
      <c r="S576" s="97"/>
      <c r="T576" s="97"/>
      <c r="U576" s="97"/>
      <c r="V576" s="97"/>
      <c r="W576" s="97"/>
      <c r="X576" s="142"/>
      <c r="Y576" s="142"/>
      <c r="Z576" s="142"/>
    </row>
    <row r="577">
      <c r="A577" s="104"/>
      <c r="B577" s="138"/>
      <c r="C577" s="112" t="s">
        <v>51</v>
      </c>
      <c r="D577" s="116">
        <f>IFERROR(ROUND(AVERAGE(D570:D576),1),0)</f>
        <v>0</v>
      </c>
      <c r="E577" s="138"/>
      <c r="F577" s="115" t="s">
        <v>52</v>
      </c>
      <c r="G577" s="11"/>
      <c r="H577" s="138"/>
      <c r="I577" s="116">
        <f>IFERROR(ROUND(AVERAGEIF(I570:I576,"&lt;&gt;0"),0),0)</f>
        <v>0</v>
      </c>
      <c r="J577" s="116">
        <f t="shared" ref="J577:L577" si="204">IFERROR(ROUND(AVERAGE(J570:J576),0),0)</f>
        <v>0</v>
      </c>
      <c r="K577" s="116">
        <f t="shared" si="204"/>
        <v>0</v>
      </c>
      <c r="L577" s="116">
        <f t="shared" si="204"/>
        <v>0</v>
      </c>
      <c r="M577" s="138"/>
      <c r="N577" s="116">
        <f>IFERROR(ROUND(AVERAGE(N570:N576),0),0)</f>
        <v>0</v>
      </c>
      <c r="O577" s="116">
        <f>IFERROR(SUM(O570:O576),0)</f>
        <v>0</v>
      </c>
      <c r="P577" s="116">
        <f>IFERROR(COUNTA(P570:P576),0)</f>
        <v>0</v>
      </c>
      <c r="Q577" s="97"/>
      <c r="R577" s="97"/>
      <c r="S577" s="97"/>
      <c r="T577" s="97"/>
      <c r="U577" s="97"/>
      <c r="V577" s="97"/>
      <c r="W577" s="97"/>
      <c r="X577" s="142"/>
      <c r="Y577" s="142"/>
      <c r="Z577" s="142"/>
    </row>
    <row r="578" ht="33.75" customHeight="1">
      <c r="A578" s="97"/>
      <c r="B578" s="143" t="s">
        <v>464</v>
      </c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3"/>
      <c r="Q578" s="97"/>
      <c r="R578" s="97"/>
      <c r="S578" s="97"/>
      <c r="T578" s="97"/>
      <c r="U578" s="97"/>
      <c r="V578" s="97"/>
      <c r="W578" s="97"/>
      <c r="X578" s="142"/>
      <c r="Y578" s="142"/>
      <c r="Z578" s="142"/>
    </row>
  </sheetData>
  <mergeCells count="419">
    <mergeCell ref="E315:E324"/>
    <mergeCell ref="H326:H335"/>
    <mergeCell ref="M326:M335"/>
    <mergeCell ref="B327:B335"/>
    <mergeCell ref="F327:G327"/>
    <mergeCell ref="I327:L327"/>
    <mergeCell ref="F335:G335"/>
    <mergeCell ref="F337:G337"/>
    <mergeCell ref="E326:E335"/>
    <mergeCell ref="H337:H346"/>
    <mergeCell ref="M337:M346"/>
    <mergeCell ref="B338:B346"/>
    <mergeCell ref="F338:G338"/>
    <mergeCell ref="I338:L338"/>
    <mergeCell ref="F346:G346"/>
    <mergeCell ref="E249:E258"/>
    <mergeCell ref="E260:E269"/>
    <mergeCell ref="F260:G260"/>
    <mergeCell ref="H260:H269"/>
    <mergeCell ref="M260:M269"/>
    <mergeCell ref="B261:B269"/>
    <mergeCell ref="I261:L261"/>
    <mergeCell ref="F261:G261"/>
    <mergeCell ref="F269:G269"/>
    <mergeCell ref="F271:G271"/>
    <mergeCell ref="H271:H280"/>
    <mergeCell ref="M271:M280"/>
    <mergeCell ref="B272:B280"/>
    <mergeCell ref="F280:G280"/>
    <mergeCell ref="F282:G282"/>
    <mergeCell ref="E271:E280"/>
    <mergeCell ref="H282:H291"/>
    <mergeCell ref="M282:M291"/>
    <mergeCell ref="B283:B291"/>
    <mergeCell ref="F283:G283"/>
    <mergeCell ref="I283:L283"/>
    <mergeCell ref="F291:G291"/>
    <mergeCell ref="F293:G293"/>
    <mergeCell ref="E282:E291"/>
    <mergeCell ref="H293:H302"/>
    <mergeCell ref="M293:M302"/>
    <mergeCell ref="B294:B302"/>
    <mergeCell ref="F294:G294"/>
    <mergeCell ref="I294:L294"/>
    <mergeCell ref="F302:G302"/>
    <mergeCell ref="F304:G304"/>
    <mergeCell ref="E293:E302"/>
    <mergeCell ref="H304:H313"/>
    <mergeCell ref="M304:M313"/>
    <mergeCell ref="B305:B313"/>
    <mergeCell ref="F305:G305"/>
    <mergeCell ref="I305:L305"/>
    <mergeCell ref="F313:G313"/>
    <mergeCell ref="F315:G315"/>
    <mergeCell ref="E304:E313"/>
    <mergeCell ref="H315:H324"/>
    <mergeCell ref="M315:M324"/>
    <mergeCell ref="B316:B324"/>
    <mergeCell ref="F316:G316"/>
    <mergeCell ref="I316:L316"/>
    <mergeCell ref="F324:G324"/>
    <mergeCell ref="F326:G326"/>
    <mergeCell ref="F360:G360"/>
    <mergeCell ref="I360:L360"/>
    <mergeCell ref="E403:E412"/>
    <mergeCell ref="H414:H423"/>
    <mergeCell ref="M414:M423"/>
    <mergeCell ref="B415:B423"/>
    <mergeCell ref="F415:G415"/>
    <mergeCell ref="I415:L415"/>
    <mergeCell ref="F423:G423"/>
    <mergeCell ref="F425:G425"/>
    <mergeCell ref="E414:E423"/>
    <mergeCell ref="H425:H434"/>
    <mergeCell ref="M425:M434"/>
    <mergeCell ref="B426:B434"/>
    <mergeCell ref="F426:G426"/>
    <mergeCell ref="I426:L426"/>
    <mergeCell ref="F434:G434"/>
    <mergeCell ref="E337:E346"/>
    <mergeCell ref="E348:E357"/>
    <mergeCell ref="F348:G348"/>
    <mergeCell ref="H348:H357"/>
    <mergeCell ref="M348:M357"/>
    <mergeCell ref="B349:B357"/>
    <mergeCell ref="I349:L349"/>
    <mergeCell ref="F349:G349"/>
    <mergeCell ref="F357:G357"/>
    <mergeCell ref="F359:G359"/>
    <mergeCell ref="H359:H368"/>
    <mergeCell ref="M359:M368"/>
    <mergeCell ref="B360:B368"/>
    <mergeCell ref="F368:G368"/>
    <mergeCell ref="F370:G370"/>
    <mergeCell ref="E359:E368"/>
    <mergeCell ref="H370:H379"/>
    <mergeCell ref="M370:M379"/>
    <mergeCell ref="B371:B379"/>
    <mergeCell ref="F371:G371"/>
    <mergeCell ref="I371:L371"/>
    <mergeCell ref="F379:G379"/>
    <mergeCell ref="F381:G381"/>
    <mergeCell ref="E370:E379"/>
    <mergeCell ref="H381:H390"/>
    <mergeCell ref="M381:M390"/>
    <mergeCell ref="B382:B390"/>
    <mergeCell ref="F382:G382"/>
    <mergeCell ref="I382:L382"/>
    <mergeCell ref="F390:G390"/>
    <mergeCell ref="F392:G392"/>
    <mergeCell ref="E381:E390"/>
    <mergeCell ref="H392:H401"/>
    <mergeCell ref="M392:M401"/>
    <mergeCell ref="B393:B401"/>
    <mergeCell ref="F393:G393"/>
    <mergeCell ref="I393:L393"/>
    <mergeCell ref="F401:G401"/>
    <mergeCell ref="F403:G403"/>
    <mergeCell ref="E392:E401"/>
    <mergeCell ref="H403:H412"/>
    <mergeCell ref="M403:M412"/>
    <mergeCell ref="B404:B412"/>
    <mergeCell ref="F404:G404"/>
    <mergeCell ref="I404:L404"/>
    <mergeCell ref="F412:G412"/>
    <mergeCell ref="F414:G414"/>
    <mergeCell ref="F448:G448"/>
    <mergeCell ref="I448:L448"/>
    <mergeCell ref="E491:E500"/>
    <mergeCell ref="H502:H511"/>
    <mergeCell ref="M502:M511"/>
    <mergeCell ref="B503:B511"/>
    <mergeCell ref="F503:G503"/>
    <mergeCell ref="I503:L503"/>
    <mergeCell ref="F511:G511"/>
    <mergeCell ref="F513:G513"/>
    <mergeCell ref="E502:E511"/>
    <mergeCell ref="H513:H522"/>
    <mergeCell ref="M513:M522"/>
    <mergeCell ref="B514:B522"/>
    <mergeCell ref="F514:G514"/>
    <mergeCell ref="I514:L514"/>
    <mergeCell ref="F522:G522"/>
    <mergeCell ref="B578:P578"/>
    <mergeCell ref="E425:E434"/>
    <mergeCell ref="E436:E445"/>
    <mergeCell ref="F436:G436"/>
    <mergeCell ref="H436:H445"/>
    <mergeCell ref="M436:M445"/>
    <mergeCell ref="B437:B445"/>
    <mergeCell ref="I437:L437"/>
    <mergeCell ref="F437:G437"/>
    <mergeCell ref="F445:G445"/>
    <mergeCell ref="F447:G447"/>
    <mergeCell ref="H447:H456"/>
    <mergeCell ref="M447:M456"/>
    <mergeCell ref="B448:B456"/>
    <mergeCell ref="F456:G456"/>
    <mergeCell ref="F458:G458"/>
    <mergeCell ref="E447:E456"/>
    <mergeCell ref="H458:H467"/>
    <mergeCell ref="M458:M467"/>
    <mergeCell ref="B459:B467"/>
    <mergeCell ref="F459:G459"/>
    <mergeCell ref="I459:L459"/>
    <mergeCell ref="F467:G467"/>
    <mergeCell ref="F469:G469"/>
    <mergeCell ref="E458:E467"/>
    <mergeCell ref="H469:H478"/>
    <mergeCell ref="M469:M478"/>
    <mergeCell ref="B470:B478"/>
    <mergeCell ref="F470:G470"/>
    <mergeCell ref="I470:L470"/>
    <mergeCell ref="F478:G478"/>
    <mergeCell ref="F480:G480"/>
    <mergeCell ref="E469:E478"/>
    <mergeCell ref="H480:H489"/>
    <mergeCell ref="M480:M489"/>
    <mergeCell ref="B481:B489"/>
    <mergeCell ref="F481:G481"/>
    <mergeCell ref="I481:L481"/>
    <mergeCell ref="F489:G489"/>
    <mergeCell ref="F491:G491"/>
    <mergeCell ref="E480:E489"/>
    <mergeCell ref="H491:H500"/>
    <mergeCell ref="M491:M500"/>
    <mergeCell ref="B492:B500"/>
    <mergeCell ref="F492:G492"/>
    <mergeCell ref="I492:L492"/>
    <mergeCell ref="F500:G500"/>
    <mergeCell ref="F502:G502"/>
    <mergeCell ref="F536:G536"/>
    <mergeCell ref="I536:L536"/>
    <mergeCell ref="E51:E60"/>
    <mergeCell ref="H62:H71"/>
    <mergeCell ref="M62:M71"/>
    <mergeCell ref="B63:B71"/>
    <mergeCell ref="F63:G63"/>
    <mergeCell ref="I63:L63"/>
    <mergeCell ref="F71:G71"/>
    <mergeCell ref="F73:G73"/>
    <mergeCell ref="E62:E71"/>
    <mergeCell ref="H73:H82"/>
    <mergeCell ref="M73:M82"/>
    <mergeCell ref="B74:B82"/>
    <mergeCell ref="F74:G74"/>
    <mergeCell ref="I74:L74"/>
    <mergeCell ref="F82:G82"/>
    <mergeCell ref="F8:G8"/>
    <mergeCell ref="I8:L8"/>
    <mergeCell ref="E1:L6"/>
    <mergeCell ref="C3:D3"/>
    <mergeCell ref="F7:G7"/>
    <mergeCell ref="H7:H16"/>
    <mergeCell ref="M7:M16"/>
    <mergeCell ref="B8:B16"/>
    <mergeCell ref="F16:G16"/>
    <mergeCell ref="F18:G18"/>
    <mergeCell ref="E7:E16"/>
    <mergeCell ref="H18:H27"/>
    <mergeCell ref="M18:M27"/>
    <mergeCell ref="B19:B27"/>
    <mergeCell ref="F19:G19"/>
    <mergeCell ref="I19:L19"/>
    <mergeCell ref="F27:G27"/>
    <mergeCell ref="F29:G29"/>
    <mergeCell ref="E18:E27"/>
    <mergeCell ref="H29:H38"/>
    <mergeCell ref="M29:M38"/>
    <mergeCell ref="B30:B38"/>
    <mergeCell ref="F30:G30"/>
    <mergeCell ref="I30:L30"/>
    <mergeCell ref="F38:G38"/>
    <mergeCell ref="F40:G40"/>
    <mergeCell ref="E29:E38"/>
    <mergeCell ref="H40:H49"/>
    <mergeCell ref="M40:M49"/>
    <mergeCell ref="B41:B49"/>
    <mergeCell ref="F41:G41"/>
    <mergeCell ref="I41:L41"/>
    <mergeCell ref="F49:G49"/>
    <mergeCell ref="F51:G51"/>
    <mergeCell ref="E40:E49"/>
    <mergeCell ref="H51:H60"/>
    <mergeCell ref="M51:M60"/>
    <mergeCell ref="B52:B60"/>
    <mergeCell ref="F52:G52"/>
    <mergeCell ref="I52:L52"/>
    <mergeCell ref="F60:G60"/>
    <mergeCell ref="F62:G62"/>
    <mergeCell ref="F96:G96"/>
    <mergeCell ref="I96:L96"/>
    <mergeCell ref="E139:E148"/>
    <mergeCell ref="H150:H159"/>
    <mergeCell ref="M150:M159"/>
    <mergeCell ref="B151:B159"/>
    <mergeCell ref="F151:G151"/>
    <mergeCell ref="I151:L151"/>
    <mergeCell ref="F159:G159"/>
    <mergeCell ref="F161:G161"/>
    <mergeCell ref="E150:E159"/>
    <mergeCell ref="H161:H170"/>
    <mergeCell ref="M161:M170"/>
    <mergeCell ref="B162:B170"/>
    <mergeCell ref="F162:G162"/>
    <mergeCell ref="I162:L162"/>
    <mergeCell ref="F170:G170"/>
    <mergeCell ref="E73:E82"/>
    <mergeCell ref="E84:E93"/>
    <mergeCell ref="F84:G84"/>
    <mergeCell ref="H84:H93"/>
    <mergeCell ref="M84:M93"/>
    <mergeCell ref="B85:B93"/>
    <mergeCell ref="I85:L85"/>
    <mergeCell ref="F85:G85"/>
    <mergeCell ref="F93:G93"/>
    <mergeCell ref="F95:G95"/>
    <mergeCell ref="H95:H104"/>
    <mergeCell ref="M95:M104"/>
    <mergeCell ref="B96:B104"/>
    <mergeCell ref="F104:G104"/>
    <mergeCell ref="F106:G106"/>
    <mergeCell ref="E95:E104"/>
    <mergeCell ref="H106:H115"/>
    <mergeCell ref="M106:M115"/>
    <mergeCell ref="B107:B115"/>
    <mergeCell ref="F107:G107"/>
    <mergeCell ref="I107:L107"/>
    <mergeCell ref="F115:G115"/>
    <mergeCell ref="F117:G117"/>
    <mergeCell ref="E106:E115"/>
    <mergeCell ref="H117:H126"/>
    <mergeCell ref="M117:M126"/>
    <mergeCell ref="B118:B126"/>
    <mergeCell ref="F118:G118"/>
    <mergeCell ref="I118:L118"/>
    <mergeCell ref="F126:G126"/>
    <mergeCell ref="F128:G128"/>
    <mergeCell ref="E117:E126"/>
    <mergeCell ref="H128:H137"/>
    <mergeCell ref="M128:M137"/>
    <mergeCell ref="B129:B137"/>
    <mergeCell ref="F129:G129"/>
    <mergeCell ref="I129:L129"/>
    <mergeCell ref="F137:G137"/>
    <mergeCell ref="F139:G139"/>
    <mergeCell ref="E128:E137"/>
    <mergeCell ref="H139:H148"/>
    <mergeCell ref="M139:M148"/>
    <mergeCell ref="B140:B148"/>
    <mergeCell ref="F140:G140"/>
    <mergeCell ref="I140:L140"/>
    <mergeCell ref="F148:G148"/>
    <mergeCell ref="F150:G150"/>
    <mergeCell ref="F184:G184"/>
    <mergeCell ref="I184:L184"/>
    <mergeCell ref="E227:E236"/>
    <mergeCell ref="H238:H247"/>
    <mergeCell ref="M238:M247"/>
    <mergeCell ref="B239:B247"/>
    <mergeCell ref="F239:G239"/>
    <mergeCell ref="I239:L239"/>
    <mergeCell ref="F247:G247"/>
    <mergeCell ref="F249:G249"/>
    <mergeCell ref="E238:E247"/>
    <mergeCell ref="H249:H258"/>
    <mergeCell ref="M249:M258"/>
    <mergeCell ref="B250:B258"/>
    <mergeCell ref="F250:G250"/>
    <mergeCell ref="I250:L250"/>
    <mergeCell ref="F258:G258"/>
    <mergeCell ref="E161:E170"/>
    <mergeCell ref="E172:E181"/>
    <mergeCell ref="F172:G172"/>
    <mergeCell ref="H172:H181"/>
    <mergeCell ref="M172:M181"/>
    <mergeCell ref="B173:B181"/>
    <mergeCell ref="I173:L173"/>
    <mergeCell ref="F173:G173"/>
    <mergeCell ref="F181:G181"/>
    <mergeCell ref="F183:G183"/>
    <mergeCell ref="H183:H192"/>
    <mergeCell ref="M183:M192"/>
    <mergeCell ref="B184:B192"/>
    <mergeCell ref="F192:G192"/>
    <mergeCell ref="F194:G194"/>
    <mergeCell ref="E183:E192"/>
    <mergeCell ref="H194:H203"/>
    <mergeCell ref="M194:M203"/>
    <mergeCell ref="B195:B203"/>
    <mergeCell ref="F195:G195"/>
    <mergeCell ref="I195:L195"/>
    <mergeCell ref="F203:G203"/>
    <mergeCell ref="F205:G205"/>
    <mergeCell ref="E194:E203"/>
    <mergeCell ref="H205:H214"/>
    <mergeCell ref="M205:M214"/>
    <mergeCell ref="B206:B214"/>
    <mergeCell ref="F206:G206"/>
    <mergeCell ref="I206:L206"/>
    <mergeCell ref="F214:G214"/>
    <mergeCell ref="F216:G216"/>
    <mergeCell ref="E205:E214"/>
    <mergeCell ref="H216:H225"/>
    <mergeCell ref="M216:M225"/>
    <mergeCell ref="B217:B225"/>
    <mergeCell ref="F217:G217"/>
    <mergeCell ref="I217:L217"/>
    <mergeCell ref="F225:G225"/>
    <mergeCell ref="F227:G227"/>
    <mergeCell ref="E216:E225"/>
    <mergeCell ref="H227:H236"/>
    <mergeCell ref="M227:M236"/>
    <mergeCell ref="B228:B236"/>
    <mergeCell ref="F228:G228"/>
    <mergeCell ref="I228:L228"/>
    <mergeCell ref="F236:G236"/>
    <mergeCell ref="F238:G238"/>
    <mergeCell ref="F272:G272"/>
    <mergeCell ref="I272:L272"/>
    <mergeCell ref="E513:E522"/>
    <mergeCell ref="E524:E533"/>
    <mergeCell ref="F524:G524"/>
    <mergeCell ref="H524:H533"/>
    <mergeCell ref="M524:M533"/>
    <mergeCell ref="B525:B533"/>
    <mergeCell ref="I525:L525"/>
    <mergeCell ref="F525:G525"/>
    <mergeCell ref="F533:G533"/>
    <mergeCell ref="F535:G535"/>
    <mergeCell ref="H535:H544"/>
    <mergeCell ref="M535:M544"/>
    <mergeCell ref="B536:B544"/>
    <mergeCell ref="F544:G544"/>
    <mergeCell ref="F546:G546"/>
    <mergeCell ref="E535:E544"/>
    <mergeCell ref="H546:H555"/>
    <mergeCell ref="M546:M555"/>
    <mergeCell ref="B547:B555"/>
    <mergeCell ref="F547:G547"/>
    <mergeCell ref="I547:L547"/>
    <mergeCell ref="F555:G555"/>
    <mergeCell ref="F557:G557"/>
    <mergeCell ref="E557:E566"/>
    <mergeCell ref="E568:E577"/>
    <mergeCell ref="H568:H577"/>
    <mergeCell ref="M568:M577"/>
    <mergeCell ref="B569:B577"/>
    <mergeCell ref="F569:G569"/>
    <mergeCell ref="I569:L569"/>
    <mergeCell ref="F577:G577"/>
    <mergeCell ref="E546:E555"/>
    <mergeCell ref="H557:H566"/>
    <mergeCell ref="M557:M566"/>
    <mergeCell ref="B558:B566"/>
    <mergeCell ref="F558:G558"/>
    <mergeCell ref="I558:L558"/>
    <mergeCell ref="F566:G566"/>
    <mergeCell ref="F568:G568"/>
  </mergeCells>
  <conditionalFormatting sqref="F9:F15 F20:F26 F31:F37 F42:F48 F53:F59 F64:F70 F75:F81 F86:F92 F97:F103 F108:F114 F119:F125 F130:F136 F141:F147 F152:F158 F163:F169 F174:F180 F185:F191 F196:F202 F207:F213 F218:F224 F229:F235 F240:F246 F251:F257 F262:F268 F273:F279 F284:F290 F295:F301 F306:F312 F317:F323 F328:F334 F339:F345 F350:F356 F361:F367 F372:F378 F383:F389 F394:F400 F405:F411 F416:F422 F427:F433 F438:F444 F449:F455 F460:F466 F471:F477 F482:F488 F493:F499 F504:F510 F515:F521 F526:F532 F537:F543 F548:F554 F559:F565 F570:F576">
    <cfRule type="cellIs" dxfId="0" priority="1" operator="equal">
      <formula>1</formula>
    </cfRule>
  </conditionalFormatting>
  <dataValidations>
    <dataValidation type="list" allowBlank="1" sqref="C4">
      <formula1>$X:$X</formula1>
    </dataValidation>
    <dataValidation type="custom" allowBlank="1" showDropDown="1" sqref="C9:C15 C20:C26 C31:C37 C42:C48 C53:C59 C64:C70 C75:C81 C86:C92 C97:C103 C108:C114 C119:C125 C130:C136 C141:C147 C152:C158 C163:C169 C174:C180 C185:C191 C196:C202 C207:C213 C218:C224 C229:C235 C240:C246 C251:C257 C262:C268 C273:C279 C284:C290 C295:C301 C306:C312 C317:C323 C328:C334 C339:C345 C350:C356 C361:C367 C372:C378 C383:C389 C394:C400 C405:C411 C416:C422 C427:C433 C438:C444 C449:C455 C460:C466 C471:C477 C482:C488 C493:C499 C504:C510 C515:C521 C526:C532 C537:C543 C548:C554 C559:C565 C570:C576">
      <formula1>OR(NOT(ISERROR(DATEVALUE(C9))), AND(ISNUMBER(C9), LEFT(CELL("format", C9))="D"))</formula1>
    </dataValidation>
  </dataValidations>
  <hyperlinks>
    <hyperlink display="CLICK HERE" location="'Daily Tracker'!A7" ref="Y1"/>
    <hyperlink display="CLICK HERE" location="'Check-In'!G1" ref="Z1"/>
    <hyperlink display="CLICK HERE" location="'Daily Tracker'!A18" ref="Y2"/>
    <hyperlink display="CLICK HERE" location="'Check-In'!H1" ref="Z2"/>
    <hyperlink display="CLICK HERE" location="'Daily Tracker'!A29" ref="Y3"/>
    <hyperlink display="CLICK HERE" location="'Check-In'!I1" ref="Z3"/>
    <hyperlink display="CLICK HERE" location="'Daily Tracker'!A403" ref="D4"/>
    <hyperlink display="CLICK HERE" location="'Daily Tracker'!A40" ref="Y4"/>
    <hyperlink display="CLICK HERE" location="'Check-In'!J1" ref="Z4"/>
    <hyperlink display="CLICK HERE" location="'Daily Tracker'!A51" ref="Y5"/>
    <hyperlink display="CLICK HERE" location="'Check-In'!K1" ref="Z5"/>
    <hyperlink display="CLICK HERE" location="'Daily Tracker'!A62" ref="Y6"/>
    <hyperlink display="CLICK HERE" location="'Check-In'!L1" ref="Z6"/>
    <hyperlink display="CLICK HERE" location="'Daily Tracker'!A73" ref="Y7"/>
    <hyperlink display="CLICK HERE" location="'Check-In'!M1" ref="Z7"/>
    <hyperlink display="CLICK HERE" location="'Daily Tracker'!A84" ref="Y8"/>
    <hyperlink display="CLICK HERE" location="'Check-In'!N1" ref="Z8"/>
    <hyperlink display="CLICK HERE" location="'Daily Tracker'!A95" ref="Y9"/>
    <hyperlink display="CLICK HERE" location="'Check-In'!O1" ref="Z9"/>
    <hyperlink display="CLICK HERE" location="'Daily Tracker'!A106" ref="Y10"/>
    <hyperlink display="CLICK HERE" location="'Check-In'!P1" ref="Z10"/>
    <hyperlink display="CLICK HERE" location="'Daily Tracker'!A117" ref="Y11"/>
    <hyperlink display="CLICK HERE" location="'Check-In'!Q1" ref="Z11"/>
    <hyperlink display="CLICK HERE" location="'Daily Tracker'!A128" ref="Y12"/>
    <hyperlink display="CLICK HERE" location="'Check-In'!R1" ref="Z12"/>
    <hyperlink display="CLICK HERE" location="'Daily Tracker'!A139" ref="Y13"/>
    <hyperlink display="CLICK HERE" location="'Check-In'!S1" ref="Z13"/>
    <hyperlink display="CLICK HERE" location="'Daily Tracker'!A150" ref="Y14"/>
    <hyperlink display="CLICK HERE" location="'Check-In'!T1" ref="Z14"/>
    <hyperlink display="CLICK HERE" location="'Daily Tracker'!A161" ref="Y15"/>
    <hyperlink display="CLICK HERE" location="'Check-In'!U1" ref="Z15"/>
    <hyperlink display="CLICK HERE" location="'Daily Tracker'!A172" ref="Y16"/>
    <hyperlink display="CLICK HERE" location="'Check-In'!V1" ref="Z16"/>
    <hyperlink display="CLICK HERE" location="'Daily Tracker'!A183" ref="Y17"/>
    <hyperlink display="CLICK HERE" location="'Check-In'!W1" ref="Z17"/>
    <hyperlink display="CLICK HERE" location="'Daily Tracker'!A194" ref="Y18"/>
    <hyperlink display="CLICK HERE" location="'Check-In'!X1" ref="Z18"/>
    <hyperlink display="CLICK HERE" location="'Daily Tracker'!A205" ref="Y19"/>
    <hyperlink display="CLICK HERE" location="'Check-In'!Y1" ref="Z19"/>
    <hyperlink display="CLICK HERE" location="'Daily Tracker'!A216" ref="Y20"/>
    <hyperlink display="CLICK HERE" location="'Check-In'!Z1" ref="Z20"/>
    <hyperlink display="CLICK HERE" location="'Daily Tracker'!A227" ref="Y21"/>
    <hyperlink display="CLICK HERE" location="'Check-In'!AA1" ref="Z21"/>
    <hyperlink display="CLICK HERE" location="'Daily Tracker'!A238" ref="Y22"/>
    <hyperlink display="CLICK HERE" location="'Check-In'!AB1" ref="Z22"/>
    <hyperlink display="CLICK HERE" location="'Daily Tracker'!A249" ref="Y23"/>
    <hyperlink display="CLICK HERE" location="'Check-In'!AC1" ref="Z23"/>
    <hyperlink display="CLICK HERE" location="'Daily Tracker'!A260" ref="Y24"/>
    <hyperlink display="CLICK HERE" location="'Check-In'!AD1" ref="Z24"/>
    <hyperlink display="CLICK HERE" location="'Daily Tracker'!A271" ref="Y25"/>
    <hyperlink display="CLICK HERE" location="'Check-In'!AE1" ref="Z25"/>
    <hyperlink display="CLICK HERE" location="'Daily Tracker'!A282" ref="Y26"/>
    <hyperlink display="CLICK HERE" location="'Check-In'!AF1" ref="Z26"/>
    <hyperlink display="CLICK HERE" location="'Daily Tracker'!A293" ref="Y27"/>
    <hyperlink display="CLICK HERE" location="'Check-In'!AG1" ref="Z27"/>
    <hyperlink display="CLICK HERE" location="'Daily Tracker'!A304" ref="Y28"/>
    <hyperlink display="CLICK HERE" location="'Check-In'!AH1" ref="Z28"/>
    <hyperlink display="CLICK HERE" location="'Daily Tracker'!A315" ref="Y29"/>
    <hyperlink display="CLICK HERE" location="'Check-In'!AI1" ref="Z29"/>
    <hyperlink display="CLICK HERE" location="'Daily Tracker'!A326" ref="Y30"/>
    <hyperlink display="CLICK HERE" location="'Check-In'!AJ1" ref="Z30"/>
    <hyperlink display="CLICK HERE" location="'Daily Tracker'!A337" ref="Y31"/>
    <hyperlink display="CLICK HERE" location="'Check-In'!AK1" ref="Z31"/>
    <hyperlink display="CLICK HERE" location="'Daily Tracker'!A348" ref="Y32"/>
    <hyperlink display="CLICK HERE" location="'Check-In'!AL1" ref="Z32"/>
    <hyperlink display="CLICK HERE" location="'Daily Tracker'!A359" ref="Y33"/>
    <hyperlink display="CLICK HERE" location="'Check-In'!AM1" ref="Z33"/>
    <hyperlink display="CLICK HERE" location="'Daily Tracker'!A370" ref="Y34"/>
    <hyperlink display="CLICK HERE" location="'Check-In'!AN1" ref="Z34"/>
    <hyperlink display="CLICK HERE" location="'Daily Tracker'!A381" ref="Y35"/>
    <hyperlink display="CLICK HERE" location="'Check-In'!AO1" ref="Z35"/>
    <hyperlink display="CLICK HERE" location="'Daily Tracker'!A392" ref="Y36"/>
    <hyperlink display="CLICK HERE" location="'Check-In'!AP1" ref="Z36"/>
    <hyperlink display="CLICK HERE" location="'Daily Tracker'!A403" ref="Y37"/>
    <hyperlink display="CLICK HERE" location="'Check-In'!AQ1" ref="Z37"/>
    <hyperlink display="CLICK HERE" location="'Daily Tracker'!A414" ref="Y38"/>
    <hyperlink display="CLICK HERE" location="'Check-In'!AR1" ref="Z38"/>
    <hyperlink display="CLICK HERE" location="'Daily Tracker'!A425" ref="Y39"/>
    <hyperlink display="CLICK HERE" location="'Check-In'!AS1" ref="Z39"/>
    <hyperlink display="CLICK HERE" location="'Daily Tracker'!A436" ref="Y40"/>
    <hyperlink display="CLICK HERE" location="'Check-In'!AT1" ref="Z40"/>
    <hyperlink display="CLICK HERE" location="'Daily Tracker'!A447" ref="Y41"/>
    <hyperlink display="CLICK HERE" location="'Check-In'!AU1" ref="Z41"/>
    <hyperlink display="CLICK HERE" location="'Daily Tracker'!A458" ref="Y42"/>
    <hyperlink display="CLICK HERE" location="'Check-In'!AV1" ref="Z42"/>
    <hyperlink display="CLICK HERE" location="'Daily Tracker'!A469" ref="Y43"/>
    <hyperlink display="CLICK HERE" location="'Check-In'!AW1" ref="Z43"/>
    <hyperlink display="CLICK HERE" location="'Daily Tracker'!A480" ref="Y44"/>
    <hyperlink display="CLICK HERE" location="'Check-In'!AX1" ref="Z44"/>
    <hyperlink display="CLICK HERE" location="'Daily Tracker'!A491" ref="Y45"/>
    <hyperlink display="CLICK HERE" location="'Check-In'!AY1" ref="Z45"/>
    <hyperlink display="CLICK HERE" location="'Daily Tracker'!A502" ref="Y46"/>
    <hyperlink display="CLICK HERE" location="'Check-In'!AZ1" ref="Z46"/>
    <hyperlink display="CLICK HERE" location="'Daily Tracker'!A513" ref="Y47"/>
    <hyperlink display="CLICK HERE" location="'Check-In'!BA1" ref="Z47"/>
    <hyperlink display="CLICK HERE" location="'Daily Tracker'!A524" ref="Y48"/>
    <hyperlink display="CLICK HERE" location="'Check-In'!BB1" ref="Z48"/>
    <hyperlink display="CLICK HERE" location="'Daily Tracker'!A535" ref="Y49"/>
    <hyperlink display="CLICK HERE" location="'Check-In'!BC1" ref="Z49"/>
    <hyperlink display="CLICK HERE" location="'Daily Tracker'!A546" ref="Y50"/>
    <hyperlink display="CLICK HERE" location="'Check-In'!BD1" ref="Z50"/>
    <hyperlink display="CLICK HERE" location="'Daily Tracker'!A557" ref="Y51"/>
    <hyperlink display="CLICK HERE" location="'Check-In'!BE1" ref="Z51"/>
    <hyperlink display="CLICK HERE" location="'Daily Tracker'!A568" ref="Y52"/>
    <hyperlink display="CLICK HERE" location="'Check-In'!BF1" ref="Z52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2" width="5.13"/>
    <col customWidth="1" min="6" max="6" width="10.13"/>
    <col customWidth="1" min="7" max="58" width="62.63"/>
  </cols>
  <sheetData>
    <row r="1" ht="22.5" customHeight="1">
      <c r="A1" s="144"/>
      <c r="B1" s="144"/>
      <c r="C1" s="97"/>
      <c r="D1" s="97"/>
      <c r="E1" s="97"/>
      <c r="F1" s="97"/>
      <c r="G1" s="145" t="s">
        <v>0</v>
      </c>
      <c r="H1" s="146"/>
      <c r="I1" s="146"/>
      <c r="J1" s="146"/>
      <c r="K1" s="146"/>
      <c r="L1" s="146"/>
      <c r="M1" s="146"/>
      <c r="N1" s="146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102"/>
      <c r="BG1" s="144"/>
    </row>
    <row r="2" ht="22.5" customHeight="1">
      <c r="A2" s="144"/>
      <c r="B2" s="144"/>
      <c r="C2" s="102"/>
      <c r="D2" s="102"/>
      <c r="E2" s="102"/>
      <c r="F2" s="97"/>
      <c r="G2" s="147"/>
      <c r="H2" s="146"/>
      <c r="I2" s="146"/>
      <c r="J2" s="146"/>
      <c r="K2" s="146"/>
      <c r="L2" s="146"/>
      <c r="M2" s="146"/>
      <c r="N2" s="146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147"/>
      <c r="BG2" s="144"/>
    </row>
    <row r="3" ht="22.5" customHeight="1">
      <c r="A3" s="144"/>
      <c r="B3" s="148"/>
      <c r="C3" s="105" t="s">
        <v>2</v>
      </c>
      <c r="D3" s="149" t="str">
        <f>'Client Dashboard'!E2</f>
        <v>Becky Marlow</v>
      </c>
      <c r="E3" s="11"/>
      <c r="F3" s="141"/>
      <c r="G3" s="147"/>
      <c r="H3" s="146"/>
      <c r="I3" s="146"/>
      <c r="J3" s="146"/>
      <c r="K3" s="146"/>
      <c r="L3" s="146"/>
      <c r="M3" s="146"/>
      <c r="N3" s="146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147"/>
      <c r="BG3" s="144"/>
    </row>
    <row r="4" ht="22.5" customHeight="1">
      <c r="A4" s="144"/>
      <c r="B4" s="148"/>
      <c r="C4" s="105" t="s">
        <v>29</v>
      </c>
      <c r="D4" s="150">
        <f>IF(ISBLANK('Daily Tracker'!C4),"",'Daily Tracker'!C4)</f>
        <v>37</v>
      </c>
      <c r="E4" s="151" t="s">
        <v>28</v>
      </c>
      <c r="F4" s="141"/>
      <c r="G4" s="147"/>
      <c r="H4" s="146"/>
      <c r="I4" s="146"/>
      <c r="J4" s="146"/>
      <c r="K4" s="146"/>
      <c r="L4" s="146"/>
      <c r="M4" s="146"/>
      <c r="N4" s="146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97"/>
      <c r="BF4" s="147"/>
      <c r="BG4" s="144"/>
    </row>
    <row r="5" ht="22.5" customHeight="1">
      <c r="A5" s="144"/>
      <c r="B5" s="144"/>
      <c r="C5" s="109"/>
      <c r="D5" s="109"/>
      <c r="E5" s="109"/>
      <c r="F5" s="97"/>
      <c r="G5" s="147"/>
      <c r="H5" s="146"/>
      <c r="I5" s="146"/>
      <c r="J5" s="146"/>
      <c r="K5" s="146"/>
      <c r="L5" s="146"/>
      <c r="M5" s="146"/>
      <c r="N5" s="146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7"/>
      <c r="BF5" s="147"/>
      <c r="BG5" s="144"/>
    </row>
    <row r="6" ht="22.5" customHeight="1">
      <c r="A6" s="144"/>
      <c r="B6" s="144"/>
      <c r="C6" s="102"/>
      <c r="D6" s="102"/>
      <c r="E6" s="102"/>
      <c r="F6" s="102"/>
      <c r="G6" s="152"/>
      <c r="H6" s="153"/>
      <c r="I6" s="153"/>
      <c r="J6" s="153"/>
      <c r="K6" s="153"/>
      <c r="L6" s="153"/>
      <c r="M6" s="153"/>
      <c r="N6" s="153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52"/>
      <c r="BG6" s="144"/>
    </row>
    <row r="7" ht="26.25" customHeight="1">
      <c r="A7" s="144"/>
      <c r="B7" s="154"/>
      <c r="C7" s="9" t="s">
        <v>465</v>
      </c>
      <c r="D7" s="10"/>
      <c r="E7" s="10"/>
      <c r="F7" s="11"/>
      <c r="G7" s="105" t="s">
        <v>466</v>
      </c>
      <c r="H7" s="105" t="s">
        <v>467</v>
      </c>
      <c r="I7" s="105" t="s">
        <v>468</v>
      </c>
      <c r="J7" s="105" t="s">
        <v>469</v>
      </c>
      <c r="K7" s="105" t="s">
        <v>470</v>
      </c>
      <c r="L7" s="105" t="s">
        <v>471</v>
      </c>
      <c r="M7" s="105" t="s">
        <v>472</v>
      </c>
      <c r="N7" s="105" t="s">
        <v>473</v>
      </c>
      <c r="O7" s="105" t="s">
        <v>474</v>
      </c>
      <c r="P7" s="105" t="s">
        <v>475</v>
      </c>
      <c r="Q7" s="105" t="s">
        <v>476</v>
      </c>
      <c r="R7" s="105" t="s">
        <v>477</v>
      </c>
      <c r="S7" s="105" t="s">
        <v>478</v>
      </c>
      <c r="T7" s="105" t="s">
        <v>479</v>
      </c>
      <c r="U7" s="105" t="s">
        <v>480</v>
      </c>
      <c r="V7" s="105" t="s">
        <v>481</v>
      </c>
      <c r="W7" s="105" t="s">
        <v>482</v>
      </c>
      <c r="X7" s="105" t="s">
        <v>483</v>
      </c>
      <c r="Y7" s="105" t="s">
        <v>484</v>
      </c>
      <c r="Z7" s="105" t="s">
        <v>485</v>
      </c>
      <c r="AA7" s="155" t="s">
        <v>486</v>
      </c>
      <c r="AB7" s="105" t="s">
        <v>487</v>
      </c>
      <c r="AC7" s="105" t="s">
        <v>488</v>
      </c>
      <c r="AD7" s="105" t="s">
        <v>489</v>
      </c>
      <c r="AE7" s="105" t="s">
        <v>490</v>
      </c>
      <c r="AF7" s="105" t="s">
        <v>491</v>
      </c>
      <c r="AG7" s="105" t="s">
        <v>492</v>
      </c>
      <c r="AH7" s="105" t="s">
        <v>493</v>
      </c>
      <c r="AI7" s="105" t="s">
        <v>494</v>
      </c>
      <c r="AJ7" s="105" t="s">
        <v>495</v>
      </c>
      <c r="AK7" s="105" t="s">
        <v>496</v>
      </c>
      <c r="AL7" s="105" t="s">
        <v>497</v>
      </c>
      <c r="AM7" s="105" t="s">
        <v>498</v>
      </c>
      <c r="AN7" s="105" t="s">
        <v>499</v>
      </c>
      <c r="AO7" s="105" t="s">
        <v>500</v>
      </c>
      <c r="AP7" s="105" t="s">
        <v>501</v>
      </c>
      <c r="AQ7" s="105" t="s">
        <v>502</v>
      </c>
      <c r="AR7" s="105" t="s">
        <v>503</v>
      </c>
      <c r="AS7" s="105" t="s">
        <v>504</v>
      </c>
      <c r="AT7" s="105" t="s">
        <v>505</v>
      </c>
      <c r="AU7" s="105" t="s">
        <v>506</v>
      </c>
      <c r="AV7" s="105" t="s">
        <v>507</v>
      </c>
      <c r="AW7" s="105" t="s">
        <v>508</v>
      </c>
      <c r="AX7" s="105" t="s">
        <v>509</v>
      </c>
      <c r="AY7" s="105" t="s">
        <v>510</v>
      </c>
      <c r="AZ7" s="105" t="s">
        <v>511</v>
      </c>
      <c r="BA7" s="105" t="s">
        <v>512</v>
      </c>
      <c r="BB7" s="105" t="s">
        <v>513</v>
      </c>
      <c r="BC7" s="105" t="s">
        <v>514</v>
      </c>
      <c r="BD7" s="105" t="s">
        <v>515</v>
      </c>
      <c r="BE7" s="105" t="s">
        <v>516</v>
      </c>
      <c r="BF7" s="105" t="s">
        <v>517</v>
      </c>
      <c r="BG7" s="156"/>
    </row>
    <row r="8">
      <c r="A8" s="157" t="s">
        <v>518</v>
      </c>
      <c r="B8" s="158">
        <v>1.0</v>
      </c>
      <c r="C8" s="159" t="s">
        <v>519</v>
      </c>
      <c r="D8" s="160"/>
      <c r="E8" s="160"/>
      <c r="F8" s="161"/>
      <c r="G8" s="162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  <c r="BF8" s="165"/>
      <c r="BG8" s="166"/>
    </row>
    <row r="9">
      <c r="A9" s="157" t="s">
        <v>518</v>
      </c>
      <c r="B9" s="167">
        <v>2.0</v>
      </c>
      <c r="C9" s="168" t="s">
        <v>520</v>
      </c>
      <c r="D9" s="169"/>
      <c r="E9" s="169"/>
      <c r="F9" s="170"/>
      <c r="G9" s="171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3"/>
      <c r="BG9" s="166"/>
    </row>
    <row r="10">
      <c r="A10" s="157" t="s">
        <v>518</v>
      </c>
      <c r="B10" s="167">
        <v>3.0</v>
      </c>
      <c r="C10" s="168" t="s">
        <v>521</v>
      </c>
      <c r="D10" s="169"/>
      <c r="E10" s="169"/>
      <c r="F10" s="170"/>
      <c r="G10" s="171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3"/>
      <c r="BG10" s="166"/>
    </row>
    <row r="11">
      <c r="A11" s="157" t="s">
        <v>518</v>
      </c>
      <c r="B11" s="167">
        <v>4.0</v>
      </c>
      <c r="C11" s="168" t="s">
        <v>522</v>
      </c>
      <c r="D11" s="169"/>
      <c r="E11" s="169"/>
      <c r="F11" s="170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3"/>
      <c r="BG11" s="166"/>
    </row>
    <row r="12">
      <c r="A12" s="157" t="s">
        <v>518</v>
      </c>
      <c r="B12" s="174">
        <v>5.0</v>
      </c>
      <c r="C12" s="175" t="s">
        <v>523</v>
      </c>
      <c r="D12" s="176"/>
      <c r="E12" s="176"/>
      <c r="F12" s="177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9"/>
      <c r="BG12" s="166"/>
    </row>
    <row r="13">
      <c r="A13" s="157" t="s">
        <v>518</v>
      </c>
      <c r="B13" s="174">
        <v>6.0</v>
      </c>
      <c r="C13" s="175" t="s">
        <v>524</v>
      </c>
      <c r="D13" s="176"/>
      <c r="E13" s="176"/>
      <c r="F13" s="177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9"/>
      <c r="BG13" s="166"/>
    </row>
    <row r="14">
      <c r="A14" s="157" t="s">
        <v>518</v>
      </c>
      <c r="B14" s="174">
        <v>7.0</v>
      </c>
      <c r="C14" s="168" t="s">
        <v>525</v>
      </c>
      <c r="D14" s="169"/>
      <c r="E14" s="169"/>
      <c r="F14" s="170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9"/>
      <c r="BG14" s="166"/>
    </row>
    <row r="15">
      <c r="A15" s="157" t="s">
        <v>518</v>
      </c>
      <c r="B15" s="174">
        <v>8.0</v>
      </c>
      <c r="C15" s="168" t="s">
        <v>526</v>
      </c>
      <c r="D15" s="169"/>
      <c r="E15" s="169"/>
      <c r="F15" s="170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9"/>
      <c r="BG15" s="166"/>
    </row>
    <row r="16">
      <c r="A16" s="157" t="s">
        <v>518</v>
      </c>
      <c r="B16" s="174">
        <v>9.0</v>
      </c>
      <c r="C16" s="168" t="s">
        <v>527</v>
      </c>
      <c r="D16" s="169"/>
      <c r="E16" s="169"/>
      <c r="F16" s="170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9"/>
      <c r="BG16" s="166"/>
    </row>
    <row r="17">
      <c r="A17" s="157" t="s">
        <v>528</v>
      </c>
      <c r="B17" s="174">
        <v>10.0</v>
      </c>
      <c r="C17" s="168" t="s">
        <v>529</v>
      </c>
      <c r="D17" s="169"/>
      <c r="E17" s="169"/>
      <c r="F17" s="170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9"/>
      <c r="BG17" s="166"/>
    </row>
    <row r="18">
      <c r="A18" s="157" t="s">
        <v>1</v>
      </c>
      <c r="B18" s="174">
        <v>11.0</v>
      </c>
      <c r="C18" s="168" t="s">
        <v>530</v>
      </c>
      <c r="D18" s="169"/>
      <c r="E18" s="169"/>
      <c r="F18" s="170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9"/>
      <c r="BG18" s="166"/>
    </row>
    <row r="19">
      <c r="A19" s="157" t="s">
        <v>1</v>
      </c>
      <c r="B19" s="174">
        <v>12.0</v>
      </c>
      <c r="C19" s="168" t="s">
        <v>531</v>
      </c>
      <c r="D19" s="169"/>
      <c r="E19" s="169"/>
      <c r="F19" s="170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9"/>
      <c r="BG19" s="166"/>
    </row>
    <row r="20">
      <c r="A20" s="157" t="s">
        <v>1</v>
      </c>
      <c r="B20" s="174">
        <v>13.0</v>
      </c>
      <c r="C20" s="168" t="s">
        <v>532</v>
      </c>
      <c r="D20" s="169"/>
      <c r="E20" s="169"/>
      <c r="F20" s="170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9"/>
      <c r="BG20" s="166"/>
    </row>
    <row r="21">
      <c r="A21" s="157" t="s">
        <v>518</v>
      </c>
      <c r="B21" s="180">
        <v>14.0</v>
      </c>
      <c r="C21" s="181" t="s">
        <v>533</v>
      </c>
      <c r="D21" s="182"/>
      <c r="E21" s="182"/>
      <c r="F21" s="183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  <c r="BB21" s="184"/>
      <c r="BC21" s="184"/>
      <c r="BD21" s="184"/>
      <c r="BE21" s="184"/>
      <c r="BF21" s="185"/>
      <c r="BG21" s="166"/>
    </row>
    <row r="22">
      <c r="A22" s="144"/>
      <c r="B22" s="186"/>
      <c r="C22" s="187"/>
      <c r="D22" s="22"/>
      <c r="E22" s="22"/>
      <c r="F22" s="23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44"/>
    </row>
    <row r="23">
      <c r="A23" s="144"/>
      <c r="B23" s="188"/>
      <c r="C23" s="189"/>
      <c r="D23" s="190"/>
      <c r="E23" s="190"/>
      <c r="F23" s="191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144"/>
    </row>
    <row r="24">
      <c r="A24" s="144"/>
      <c r="B24" s="188"/>
      <c r="C24" s="189"/>
      <c r="D24" s="190"/>
      <c r="E24" s="190"/>
      <c r="F24" s="191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144"/>
    </row>
    <row r="25">
      <c r="A25" s="144"/>
      <c r="B25" s="188"/>
      <c r="C25" s="189"/>
      <c r="D25" s="190"/>
      <c r="E25" s="190"/>
      <c r="F25" s="191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144"/>
    </row>
    <row r="26">
      <c r="A26" s="144"/>
      <c r="B26" s="188"/>
      <c r="C26" s="189"/>
      <c r="D26" s="190"/>
      <c r="E26" s="190"/>
      <c r="F26" s="191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144"/>
    </row>
    <row r="27">
      <c r="A27" s="144"/>
      <c r="B27" s="188"/>
      <c r="C27" s="189"/>
      <c r="D27" s="190"/>
      <c r="E27" s="190"/>
      <c r="F27" s="191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144"/>
    </row>
    <row r="28">
      <c r="A28" s="144"/>
      <c r="B28" s="188"/>
      <c r="C28" s="189"/>
      <c r="D28" s="190"/>
      <c r="E28" s="190"/>
      <c r="F28" s="191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144"/>
    </row>
    <row r="29" ht="33.75" customHeight="1">
      <c r="A29" s="144"/>
      <c r="B29" s="192"/>
      <c r="C29" s="193" t="s">
        <v>464</v>
      </c>
      <c r="D29" s="22"/>
      <c r="E29" s="22"/>
      <c r="F29" s="23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44"/>
    </row>
  </sheetData>
  <mergeCells count="26">
    <mergeCell ref="G1:G6"/>
    <mergeCell ref="BF1:BF6"/>
    <mergeCell ref="D3:E3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25:F25"/>
    <mergeCell ref="C26:F26"/>
    <mergeCell ref="C27:F27"/>
    <mergeCell ref="C28:F28"/>
    <mergeCell ref="C29:F29"/>
    <mergeCell ref="C18:F18"/>
    <mergeCell ref="C19:F19"/>
    <mergeCell ref="C20:F20"/>
    <mergeCell ref="C21:F21"/>
    <mergeCell ref="C22:F22"/>
    <mergeCell ref="C23:F23"/>
    <mergeCell ref="C24:F24"/>
  </mergeCells>
  <dataValidations>
    <dataValidation type="list" allowBlank="1" sqref="D4">
      <formula1>'Daily Tracker'!$X:$X</formula1>
    </dataValidation>
  </dataValidations>
  <hyperlinks>
    <hyperlink display="CLICK HERE" location="'Check-In'!AQ1" ref="E4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3" max="3" width="15.13"/>
    <col hidden="1" min="24" max="25" width="12.63"/>
  </cols>
  <sheetData>
    <row r="1">
      <c r="A1" s="194"/>
      <c r="B1" s="195"/>
      <c r="C1" s="195"/>
      <c r="D1" s="195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6">
        <v>1.0</v>
      </c>
      <c r="Y1" s="197">
        <f>IF(ISNA(D3),"",D3)</f>
        <v>65.2</v>
      </c>
      <c r="Z1" s="194"/>
    </row>
    <row r="2">
      <c r="A2" s="198"/>
      <c r="B2" s="199" t="s">
        <v>29</v>
      </c>
      <c r="C2" s="105" t="s">
        <v>534</v>
      </c>
      <c r="D2" s="105" t="s">
        <v>535</v>
      </c>
      <c r="E2" s="200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201" t="s">
        <v>536</v>
      </c>
      <c r="Q2" s="5"/>
      <c r="R2" s="5"/>
      <c r="S2" s="6"/>
      <c r="T2" s="194"/>
      <c r="U2" s="194"/>
      <c r="V2" s="194"/>
      <c r="W2" s="194"/>
      <c r="X2" s="196">
        <v>2.0</v>
      </c>
      <c r="Y2" s="197">
        <f>IF(ISNA(D10),"",D10)</f>
        <v>64.6</v>
      </c>
      <c r="Z2" s="194"/>
    </row>
    <row r="3">
      <c r="A3" s="198"/>
      <c r="B3" s="202">
        <v>1.0</v>
      </c>
      <c r="C3" s="203" t="str">
        <f>'Daily Tracker'!D9</f>
        <v/>
      </c>
      <c r="D3" s="204">
        <f>IFERROR(ROUND(AVERAGE(C3:C9),1),NA())</f>
        <v>65.2</v>
      </c>
      <c r="E3" s="200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3"/>
      <c r="S3" s="14"/>
      <c r="T3" s="194"/>
      <c r="U3" s="194"/>
      <c r="V3" s="194"/>
      <c r="W3" s="194"/>
      <c r="X3" s="196">
        <v>3.0</v>
      </c>
      <c r="Y3" s="197">
        <f>IF(ISNA(D17),"",D17)</f>
        <v>63.5</v>
      </c>
      <c r="Z3" s="194"/>
    </row>
    <row r="4">
      <c r="A4" s="198"/>
      <c r="B4" s="121"/>
      <c r="C4" s="205" t="str">
        <f>'Daily Tracker'!D10</f>
        <v/>
      </c>
      <c r="D4" s="121"/>
      <c r="E4" s="200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3"/>
      <c r="S4" s="14"/>
      <c r="T4" s="194"/>
      <c r="U4" s="194"/>
      <c r="V4" s="194"/>
      <c r="W4" s="194"/>
      <c r="X4" s="196">
        <v>4.0</v>
      </c>
      <c r="Y4" s="197">
        <f>IF(ISNA(D24),"",D24)</f>
        <v>63</v>
      </c>
      <c r="Z4" s="194"/>
    </row>
    <row r="5">
      <c r="A5" s="198"/>
      <c r="B5" s="121"/>
      <c r="C5" s="205" t="str">
        <f>'Daily Tracker'!D11</f>
        <v/>
      </c>
      <c r="D5" s="121"/>
      <c r="E5" s="200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3"/>
      <c r="S5" s="14"/>
      <c r="T5" s="194"/>
      <c r="U5" s="194"/>
      <c r="V5" s="194"/>
      <c r="W5" s="194"/>
      <c r="X5" s="196">
        <v>5.0</v>
      </c>
      <c r="Y5" s="197">
        <f>IF(ISNA(D31),"",D31)</f>
        <v>63.5</v>
      </c>
      <c r="Z5" s="194"/>
    </row>
    <row r="6">
      <c r="A6" s="198"/>
      <c r="B6" s="121"/>
      <c r="C6" s="205" t="str">
        <f>'Daily Tracker'!D12</f>
        <v/>
      </c>
      <c r="D6" s="121"/>
      <c r="E6" s="200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3"/>
      <c r="S6" s="14"/>
      <c r="T6" s="194"/>
      <c r="U6" s="194"/>
      <c r="V6" s="194"/>
      <c r="W6" s="194"/>
      <c r="X6" s="196">
        <v>6.0</v>
      </c>
      <c r="Y6" s="197">
        <f>IF(ISNA(D38),"",D38)</f>
        <v>62</v>
      </c>
      <c r="Z6" s="194"/>
    </row>
    <row r="7">
      <c r="A7" s="198"/>
      <c r="B7" s="121"/>
      <c r="C7" s="205" t="str">
        <f>'Daily Tracker'!D13</f>
        <v/>
      </c>
      <c r="D7" s="121"/>
      <c r="E7" s="200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21"/>
      <c r="Q7" s="22"/>
      <c r="R7" s="22"/>
      <c r="S7" s="23"/>
      <c r="T7" s="194"/>
      <c r="U7" s="194"/>
      <c r="V7" s="194"/>
      <c r="W7" s="194"/>
      <c r="X7" s="196">
        <v>7.0</v>
      </c>
      <c r="Y7" s="197">
        <f>IF(ISNA(D45),"",D45)</f>
        <v>61.2</v>
      </c>
      <c r="Z7" s="194"/>
    </row>
    <row r="8">
      <c r="A8" s="198"/>
      <c r="B8" s="121"/>
      <c r="C8" s="205" t="str">
        <f>'Daily Tracker'!D14</f>
        <v/>
      </c>
      <c r="D8" s="121"/>
      <c r="E8" s="200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6">
        <v>8.0</v>
      </c>
      <c r="Y8" s="197" t="str">
        <f>IF(ISNA(D52),"",D52)</f>
        <v/>
      </c>
      <c r="Z8" s="194"/>
    </row>
    <row r="9">
      <c r="A9" s="198"/>
      <c r="B9" s="138"/>
      <c r="C9" s="206">
        <f>'Daily Tracker'!D15</f>
        <v>65.15</v>
      </c>
      <c r="D9" s="138"/>
      <c r="E9" s="200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6">
        <v>9.0</v>
      </c>
      <c r="Y9" s="197" t="str">
        <f>IF(ISNA(D59),"",D59)</f>
        <v/>
      </c>
      <c r="Z9" s="194"/>
    </row>
    <row r="10">
      <c r="A10" s="198"/>
      <c r="B10" s="202">
        <f>B3+1</f>
        <v>2</v>
      </c>
      <c r="C10" s="203">
        <f>'Daily Tracker'!D20</f>
        <v>64.85</v>
      </c>
      <c r="D10" s="204">
        <f>IFERROR(ROUND(AVERAGE(C10:C16),1),NA())</f>
        <v>64.6</v>
      </c>
      <c r="E10" s="200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6">
        <v>10.0</v>
      </c>
      <c r="Y10" s="197" t="str">
        <f>IF(ISNA(D66),"",D66)</f>
        <v/>
      </c>
      <c r="Z10" s="194"/>
    </row>
    <row r="11">
      <c r="A11" s="198"/>
      <c r="B11" s="121"/>
      <c r="C11" s="205" t="str">
        <f>'Daily Tracker'!D21</f>
        <v/>
      </c>
      <c r="D11" s="121"/>
      <c r="E11" s="200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6">
        <v>11.0</v>
      </c>
      <c r="Y11" s="197" t="str">
        <f>IF(ISNA(D73),"",D73)</f>
        <v/>
      </c>
      <c r="Z11" s="194"/>
    </row>
    <row r="12">
      <c r="A12" s="198"/>
      <c r="B12" s="121"/>
      <c r="C12" s="205">
        <f>'Daily Tracker'!D22</f>
        <v>64.6</v>
      </c>
      <c r="D12" s="121"/>
      <c r="E12" s="200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6">
        <v>12.0</v>
      </c>
      <c r="Y12" s="197" t="str">
        <f>IF(ISNA(D80),"",D80)</f>
        <v/>
      </c>
      <c r="Z12" s="194"/>
    </row>
    <row r="13">
      <c r="A13" s="198"/>
      <c r="B13" s="121"/>
      <c r="C13" s="205">
        <f>'Daily Tracker'!D23</f>
        <v>64.5</v>
      </c>
      <c r="D13" s="121"/>
      <c r="E13" s="200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6">
        <v>13.0</v>
      </c>
      <c r="Y13" s="197" t="str">
        <f>IF(ISNA(D87),"",D87)</f>
        <v/>
      </c>
      <c r="Z13" s="194"/>
    </row>
    <row r="14">
      <c r="A14" s="198"/>
      <c r="B14" s="121"/>
      <c r="C14" s="205" t="str">
        <f>'Daily Tracker'!D24</f>
        <v/>
      </c>
      <c r="D14" s="121"/>
      <c r="E14" s="200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6">
        <v>14.0</v>
      </c>
      <c r="Y14" s="197" t="str">
        <f>IF(ISNA(D94),"",D94)</f>
        <v/>
      </c>
      <c r="Z14" s="194"/>
    </row>
    <row r="15">
      <c r="A15" s="198"/>
      <c r="B15" s="121"/>
      <c r="C15" s="205" t="str">
        <f>'Daily Tracker'!D25</f>
        <v/>
      </c>
      <c r="D15" s="121"/>
      <c r="E15" s="200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6">
        <v>15.0</v>
      </c>
      <c r="Y15" s="197" t="str">
        <f>IF(ISNA(D101),"",D101)</f>
        <v/>
      </c>
      <c r="Z15" s="194"/>
    </row>
    <row r="16">
      <c r="A16" s="198"/>
      <c r="B16" s="138"/>
      <c r="C16" s="206">
        <f>'Daily Tracker'!D26</f>
        <v>64.5</v>
      </c>
      <c r="D16" s="138"/>
      <c r="E16" s="200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6">
        <v>16.0</v>
      </c>
      <c r="Y16" s="197" t="str">
        <f>IF(ISNA(D108),"",D108)</f>
        <v/>
      </c>
      <c r="Z16" s="194"/>
    </row>
    <row r="17">
      <c r="A17" s="198"/>
      <c r="B17" s="202">
        <f>B10+1</f>
        <v>3</v>
      </c>
      <c r="C17" s="203">
        <f>'Daily Tracker'!D31</f>
        <v>63.5</v>
      </c>
      <c r="D17" s="204">
        <f>IFERROR(ROUND(AVERAGE(C17:C23),1),NA())</f>
        <v>63.5</v>
      </c>
      <c r="E17" s="200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6">
        <v>17.0</v>
      </c>
      <c r="Y17" s="197" t="str">
        <f>IF(ISNA(D115),"",D115)</f>
        <v/>
      </c>
      <c r="Z17" s="194"/>
    </row>
    <row r="18">
      <c r="A18" s="198"/>
      <c r="B18" s="121"/>
      <c r="C18" s="205" t="str">
        <f>'Daily Tracker'!D32</f>
        <v/>
      </c>
      <c r="D18" s="121"/>
      <c r="E18" s="200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6">
        <v>18.0</v>
      </c>
      <c r="Y18" s="197" t="str">
        <f>IF(ISNA(D122),"",D122)</f>
        <v/>
      </c>
      <c r="Z18" s="194"/>
    </row>
    <row r="19">
      <c r="A19" s="198"/>
      <c r="B19" s="121"/>
      <c r="C19" s="205" t="str">
        <f>'Daily Tracker'!D33</f>
        <v/>
      </c>
      <c r="D19" s="121"/>
      <c r="E19" s="200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6">
        <v>19.0</v>
      </c>
      <c r="Y19" s="197" t="str">
        <f>IF(ISNA(D129),"",D129)</f>
        <v/>
      </c>
      <c r="Z19" s="194"/>
    </row>
    <row r="20">
      <c r="A20" s="198"/>
      <c r="B20" s="121"/>
      <c r="C20" s="205" t="str">
        <f>'Daily Tracker'!D34</f>
        <v/>
      </c>
      <c r="D20" s="121"/>
      <c r="E20" s="200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6">
        <v>20.0</v>
      </c>
      <c r="Y20" s="197" t="str">
        <f>IF(ISNA(D136),"",D136)</f>
        <v/>
      </c>
      <c r="Z20" s="194"/>
    </row>
    <row r="21">
      <c r="A21" s="198"/>
      <c r="B21" s="121"/>
      <c r="C21" s="205" t="str">
        <f>'Daily Tracker'!D35</f>
        <v/>
      </c>
      <c r="D21" s="121"/>
      <c r="E21" s="200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6">
        <v>21.0</v>
      </c>
      <c r="Y21" s="197" t="str">
        <f>IF(ISNA(D143),"",D143)</f>
        <v/>
      </c>
      <c r="Z21" s="194"/>
    </row>
    <row r="22">
      <c r="A22" s="198"/>
      <c r="B22" s="121"/>
      <c r="C22" s="205" t="str">
        <f>'Daily Tracker'!D36</f>
        <v/>
      </c>
      <c r="D22" s="121"/>
      <c r="E22" s="200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6">
        <v>22.0</v>
      </c>
      <c r="Y22" s="197" t="str">
        <f>IF(ISNA(D150),"",D150)</f>
        <v/>
      </c>
      <c r="Z22" s="194"/>
    </row>
    <row r="23">
      <c r="A23" s="198"/>
      <c r="B23" s="138"/>
      <c r="C23" s="206" t="str">
        <f>'Daily Tracker'!D37</f>
        <v/>
      </c>
      <c r="D23" s="138"/>
      <c r="E23" s="200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6">
        <v>23.0</v>
      </c>
      <c r="Y23" s="197" t="str">
        <f>IF(ISNA(D157),"",D157)</f>
        <v/>
      </c>
      <c r="Z23" s="194"/>
    </row>
    <row r="24">
      <c r="A24" s="198"/>
      <c r="B24" s="202">
        <f>B17+1</f>
        <v>4</v>
      </c>
      <c r="C24" s="203">
        <f>'Daily Tracker'!D42</f>
        <v>63</v>
      </c>
      <c r="D24" s="204">
        <f>IFERROR(ROUND(AVERAGE(C24:C30),1),NA())</f>
        <v>63</v>
      </c>
      <c r="E24" s="200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6">
        <v>24.0</v>
      </c>
      <c r="Y24" s="197" t="str">
        <f>IF(ISNA(D164),"",D164)</f>
        <v/>
      </c>
      <c r="Z24" s="194"/>
    </row>
    <row r="25">
      <c r="A25" s="198"/>
      <c r="B25" s="121"/>
      <c r="C25" s="205" t="str">
        <f>'Daily Tracker'!D43</f>
        <v/>
      </c>
      <c r="D25" s="121"/>
      <c r="E25" s="200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6">
        <v>25.0</v>
      </c>
      <c r="Y25" s="197" t="str">
        <f>IF(ISNA(D171),"",D171)</f>
        <v/>
      </c>
      <c r="Z25" s="194"/>
    </row>
    <row r="26">
      <c r="A26" s="198"/>
      <c r="B26" s="121"/>
      <c r="C26" s="205" t="str">
        <f>'Daily Tracker'!D44</f>
        <v/>
      </c>
      <c r="D26" s="121"/>
      <c r="E26" s="200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6">
        <v>26.0</v>
      </c>
      <c r="Y26" s="197" t="str">
        <f>IF(ISNA(D178),"",D178)</f>
        <v/>
      </c>
      <c r="Z26" s="194"/>
    </row>
    <row r="27">
      <c r="A27" s="198"/>
      <c r="B27" s="121"/>
      <c r="C27" s="205" t="str">
        <f>'Daily Tracker'!D45</f>
        <v/>
      </c>
      <c r="D27" s="121"/>
      <c r="E27" s="200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6">
        <v>27.0</v>
      </c>
      <c r="Y27" s="197" t="str">
        <f>IF(ISNA(D185),"",D185)</f>
        <v/>
      </c>
      <c r="Z27" s="194"/>
    </row>
    <row r="28">
      <c r="A28" s="198"/>
      <c r="B28" s="121"/>
      <c r="C28" s="205" t="str">
        <f>'Daily Tracker'!D46</f>
        <v/>
      </c>
      <c r="D28" s="121"/>
      <c r="E28" s="200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6">
        <v>28.0</v>
      </c>
      <c r="Y28" s="197" t="str">
        <f>IF(ISNA(D192),"",D192)</f>
        <v/>
      </c>
      <c r="Z28" s="194"/>
    </row>
    <row r="29">
      <c r="A29" s="198"/>
      <c r="B29" s="121"/>
      <c r="C29" s="205" t="str">
        <f>'Daily Tracker'!D47</f>
        <v/>
      </c>
      <c r="D29" s="121"/>
      <c r="E29" s="200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6">
        <v>29.0</v>
      </c>
      <c r="Y29" s="197" t="str">
        <f>IF(ISNA(D199),"",D199)</f>
        <v/>
      </c>
      <c r="Z29" s="194"/>
    </row>
    <row r="30">
      <c r="A30" s="198"/>
      <c r="B30" s="138"/>
      <c r="C30" s="206" t="str">
        <f>'Daily Tracker'!D48</f>
        <v/>
      </c>
      <c r="D30" s="138"/>
      <c r="E30" s="200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6">
        <v>30.0</v>
      </c>
      <c r="Y30" s="197" t="str">
        <f>IF(ISNA(D206),"",D206)</f>
        <v/>
      </c>
      <c r="Z30" s="194"/>
    </row>
    <row r="31">
      <c r="A31" s="198"/>
      <c r="B31" s="202">
        <f>B24+1</f>
        <v>5</v>
      </c>
      <c r="C31" s="203">
        <f>'Daily Tracker'!D53</f>
        <v>64</v>
      </c>
      <c r="D31" s="204">
        <f>IFERROR(ROUND(AVERAGE(C31:C37),1),NA())</f>
        <v>63.5</v>
      </c>
      <c r="E31" s="200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6">
        <v>31.0</v>
      </c>
      <c r="Y31" s="197" t="str">
        <f>IF(ISNA(D213),"",D213)</f>
        <v/>
      </c>
      <c r="Z31" s="194"/>
    </row>
    <row r="32">
      <c r="A32" s="198"/>
      <c r="B32" s="121"/>
      <c r="C32" s="205" t="str">
        <f>'Daily Tracker'!D54</f>
        <v/>
      </c>
      <c r="D32" s="121"/>
      <c r="E32" s="200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6">
        <v>32.0</v>
      </c>
      <c r="Y32" s="197" t="str">
        <f>IF(ISNA(D220),"",D220)</f>
        <v/>
      </c>
      <c r="Z32" s="194"/>
    </row>
    <row r="33">
      <c r="A33" s="198"/>
      <c r="B33" s="121"/>
      <c r="C33" s="205">
        <f>'Daily Tracker'!D55</f>
        <v>63.8</v>
      </c>
      <c r="D33" s="121"/>
      <c r="E33" s="200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6">
        <v>33.0</v>
      </c>
      <c r="Y33" s="197" t="str">
        <f>IF(ISNA(D227),"",D227)</f>
        <v/>
      </c>
      <c r="Z33" s="194"/>
    </row>
    <row r="34">
      <c r="A34" s="198"/>
      <c r="B34" s="121"/>
      <c r="C34" s="205">
        <f>'Daily Tracker'!D56</f>
        <v>63.5</v>
      </c>
      <c r="D34" s="121"/>
      <c r="E34" s="200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6">
        <v>34.0</v>
      </c>
      <c r="Y34" s="197" t="str">
        <f>IF(ISNA(D234),"",D234)</f>
        <v/>
      </c>
      <c r="Z34" s="194"/>
    </row>
    <row r="35">
      <c r="A35" s="198"/>
      <c r="B35" s="121"/>
      <c r="C35" s="205">
        <f>'Daily Tracker'!D57</f>
        <v>62.95</v>
      </c>
      <c r="D35" s="121"/>
      <c r="E35" s="200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6">
        <v>35.0</v>
      </c>
      <c r="Y35" s="197" t="str">
        <f>IF(ISNA(D241),"",D241)</f>
        <v/>
      </c>
      <c r="Z35" s="194"/>
    </row>
    <row r="36">
      <c r="A36" s="198"/>
      <c r="B36" s="121"/>
      <c r="C36" s="205">
        <f>'Daily Tracker'!D58</f>
        <v>63.2</v>
      </c>
      <c r="D36" s="121"/>
      <c r="E36" s="200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6">
        <v>36.0</v>
      </c>
      <c r="Y36" s="197" t="str">
        <f>IF(ISNA(D248),"",D248)</f>
        <v/>
      </c>
      <c r="Z36" s="194"/>
    </row>
    <row r="37">
      <c r="A37" s="198"/>
      <c r="B37" s="138"/>
      <c r="C37" s="206" t="str">
        <f>'Daily Tracker'!D59</f>
        <v/>
      </c>
      <c r="D37" s="138"/>
      <c r="E37" s="200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6">
        <v>37.0</v>
      </c>
      <c r="Y37" s="197" t="str">
        <f>IF(ISNA(D255),"",D255)</f>
        <v/>
      </c>
      <c r="Z37" s="194"/>
    </row>
    <row r="38">
      <c r="A38" s="198"/>
      <c r="B38" s="202">
        <f>B31+1</f>
        <v>6</v>
      </c>
      <c r="C38" s="203">
        <f>'Daily Tracker'!D64</f>
        <v>62</v>
      </c>
      <c r="D38" s="204">
        <f>IFERROR(ROUND(AVERAGE(C38:C44),1),NA())</f>
        <v>62</v>
      </c>
      <c r="E38" s="200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6">
        <v>38.0</v>
      </c>
      <c r="Y38" s="197" t="str">
        <f>IF(ISNA(D262),"",D262)</f>
        <v/>
      </c>
      <c r="Z38" s="194"/>
    </row>
    <row r="39">
      <c r="A39" s="198"/>
      <c r="B39" s="121"/>
      <c r="C39" s="205" t="str">
        <f>'Daily Tracker'!D65</f>
        <v/>
      </c>
      <c r="D39" s="121"/>
      <c r="E39" s="200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6">
        <v>39.0</v>
      </c>
      <c r="Y39" s="197" t="str">
        <f>IF(ISNA(D269),"",D269)</f>
        <v/>
      </c>
      <c r="Z39" s="194"/>
    </row>
    <row r="40">
      <c r="A40" s="198"/>
      <c r="B40" s="121"/>
      <c r="C40" s="205" t="str">
        <f>'Daily Tracker'!D66</f>
        <v/>
      </c>
      <c r="D40" s="121"/>
      <c r="E40" s="200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6">
        <v>40.0</v>
      </c>
      <c r="Y40" s="197" t="str">
        <f>IF(ISNA(D276),"",D276)</f>
        <v/>
      </c>
      <c r="Z40" s="194"/>
    </row>
    <row r="41">
      <c r="A41" s="198"/>
      <c r="B41" s="121"/>
      <c r="C41" s="205" t="str">
        <f>'Daily Tracker'!D67</f>
        <v/>
      </c>
      <c r="D41" s="121"/>
      <c r="E41" s="200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6">
        <v>41.0</v>
      </c>
      <c r="Y41" s="197" t="str">
        <f>IF(ISNA(D283),"",D283)</f>
        <v/>
      </c>
      <c r="Z41" s="194"/>
    </row>
    <row r="42">
      <c r="A42" s="198"/>
      <c r="B42" s="121"/>
      <c r="C42" s="205" t="str">
        <f>'Daily Tracker'!D68</f>
        <v/>
      </c>
      <c r="D42" s="121"/>
      <c r="E42" s="200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6">
        <v>42.0</v>
      </c>
      <c r="Y42" s="197" t="str">
        <f>IF(ISNA(D290),"",D290)</f>
        <v/>
      </c>
      <c r="Z42" s="194"/>
    </row>
    <row r="43">
      <c r="A43" s="198"/>
      <c r="B43" s="121"/>
      <c r="C43" s="205" t="str">
        <f>'Daily Tracker'!D69</f>
        <v/>
      </c>
      <c r="D43" s="121"/>
      <c r="E43" s="200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6">
        <v>43.0</v>
      </c>
      <c r="Y43" s="197" t="str">
        <f>IF(ISNA(D297),"",D297)</f>
        <v/>
      </c>
      <c r="Z43" s="194"/>
    </row>
    <row r="44">
      <c r="A44" s="198"/>
      <c r="B44" s="138"/>
      <c r="C44" s="206" t="str">
        <f>'Daily Tracker'!D70</f>
        <v/>
      </c>
      <c r="D44" s="138"/>
      <c r="E44" s="200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6">
        <v>44.0</v>
      </c>
      <c r="Y44" s="197" t="str">
        <f>IF(ISNA(D304),"",D304)</f>
        <v/>
      </c>
      <c r="Z44" s="194"/>
    </row>
    <row r="45">
      <c r="A45" s="198"/>
      <c r="B45" s="202">
        <f>B38+1</f>
        <v>7</v>
      </c>
      <c r="C45" s="203">
        <f>'Daily Tracker'!D75</f>
        <v>61.2</v>
      </c>
      <c r="D45" s="204">
        <f>IFERROR(ROUND(AVERAGE(C45:C51),1),NA())</f>
        <v>61.2</v>
      </c>
      <c r="E45" s="200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6">
        <v>45.0</v>
      </c>
      <c r="Y45" s="197" t="str">
        <f>IF(ISNA(D311),"",D311)</f>
        <v/>
      </c>
      <c r="Z45" s="194"/>
    </row>
    <row r="46">
      <c r="A46" s="198"/>
      <c r="B46" s="121"/>
      <c r="C46" s="205" t="str">
        <f>'Daily Tracker'!D76</f>
        <v/>
      </c>
      <c r="D46" s="121"/>
      <c r="E46" s="200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6">
        <v>46.0</v>
      </c>
      <c r="Y46" s="197" t="str">
        <f>IF(ISNA(D318),"",D318)</f>
        <v/>
      </c>
      <c r="Z46" s="194"/>
    </row>
    <row r="47">
      <c r="A47" s="198"/>
      <c r="B47" s="121"/>
      <c r="C47" s="205" t="str">
        <f>'Daily Tracker'!D77</f>
        <v/>
      </c>
      <c r="D47" s="121"/>
      <c r="E47" s="200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6">
        <v>47.0</v>
      </c>
      <c r="Y47" s="197" t="str">
        <f>IF(ISNA(D325),"",D325)</f>
        <v/>
      </c>
      <c r="Z47" s="194"/>
    </row>
    <row r="48">
      <c r="A48" s="198"/>
      <c r="B48" s="121"/>
      <c r="C48" s="205" t="str">
        <f>'Daily Tracker'!D78</f>
        <v/>
      </c>
      <c r="D48" s="121"/>
      <c r="E48" s="200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6">
        <v>48.0</v>
      </c>
      <c r="Y48" s="197" t="str">
        <f>IF(ISNA(D332),"",D332)</f>
        <v/>
      </c>
      <c r="Z48" s="194"/>
    </row>
    <row r="49">
      <c r="A49" s="198"/>
      <c r="B49" s="121"/>
      <c r="C49" s="205" t="str">
        <f>'Daily Tracker'!D79</f>
        <v/>
      </c>
      <c r="D49" s="121"/>
      <c r="E49" s="200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6">
        <v>49.0</v>
      </c>
      <c r="Y49" s="197" t="str">
        <f>IF(ISNA(D339),"",D339)</f>
        <v/>
      </c>
      <c r="Z49" s="194"/>
    </row>
    <row r="50">
      <c r="A50" s="198"/>
      <c r="B50" s="121"/>
      <c r="C50" s="205" t="str">
        <f>'Daily Tracker'!D80</f>
        <v/>
      </c>
      <c r="D50" s="121"/>
      <c r="E50" s="200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6">
        <v>50.0</v>
      </c>
      <c r="Y50" s="197" t="str">
        <f>IF(ISNA(D346),"",D346)</f>
        <v/>
      </c>
      <c r="Z50" s="194"/>
    </row>
    <row r="51">
      <c r="A51" s="198"/>
      <c r="B51" s="138"/>
      <c r="C51" s="206" t="str">
        <f>'Daily Tracker'!D81</f>
        <v/>
      </c>
      <c r="D51" s="138"/>
      <c r="E51" s="200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6">
        <v>51.0</v>
      </c>
      <c r="Y51" s="197" t="str">
        <f>IF(ISNA(D353),"",D353)</f>
        <v/>
      </c>
      <c r="Z51" s="194"/>
    </row>
    <row r="52">
      <c r="A52" s="198"/>
      <c r="B52" s="202">
        <f>B45+1</f>
        <v>8</v>
      </c>
      <c r="C52" s="203" t="str">
        <f>'Daily Tracker'!D86</f>
        <v/>
      </c>
      <c r="D52" s="204" t="str">
        <f>IFERROR(ROUND(AVERAGE(C52:C58),1),NA())</f>
        <v>#N/A</v>
      </c>
      <c r="E52" s="200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6">
        <v>52.0</v>
      </c>
      <c r="Y52" s="197" t="str">
        <f>IF(ISNA(D360),"",D360)</f>
        <v/>
      </c>
      <c r="Z52" s="194"/>
    </row>
    <row r="53">
      <c r="A53" s="198"/>
      <c r="B53" s="121"/>
      <c r="C53" s="205" t="str">
        <f>'Daily Tracker'!D87</f>
        <v/>
      </c>
      <c r="D53" s="121"/>
      <c r="E53" s="200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6"/>
      <c r="Y53" s="197"/>
      <c r="Z53" s="194"/>
    </row>
    <row r="54">
      <c r="A54" s="198"/>
      <c r="B54" s="121"/>
      <c r="C54" s="205" t="str">
        <f>'Daily Tracker'!D88</f>
        <v/>
      </c>
      <c r="D54" s="121"/>
      <c r="E54" s="200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6"/>
      <c r="Y54" s="197"/>
      <c r="Z54" s="194"/>
    </row>
    <row r="55">
      <c r="A55" s="198"/>
      <c r="B55" s="121"/>
      <c r="C55" s="205" t="str">
        <f>'Daily Tracker'!D89</f>
        <v/>
      </c>
      <c r="D55" s="121"/>
      <c r="E55" s="200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6"/>
      <c r="Y55" s="197"/>
      <c r="Z55" s="194"/>
    </row>
    <row r="56">
      <c r="A56" s="198"/>
      <c r="B56" s="121"/>
      <c r="C56" s="205" t="str">
        <f>'Daily Tracker'!D90</f>
        <v/>
      </c>
      <c r="D56" s="121"/>
      <c r="E56" s="200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6"/>
      <c r="Y56" s="197"/>
      <c r="Z56" s="194"/>
    </row>
    <row r="57">
      <c r="A57" s="198"/>
      <c r="B57" s="121"/>
      <c r="C57" s="205" t="str">
        <f>'Daily Tracker'!D91</f>
        <v/>
      </c>
      <c r="D57" s="121"/>
      <c r="E57" s="200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6"/>
      <c r="Y57" s="197"/>
      <c r="Z57" s="194"/>
    </row>
    <row r="58">
      <c r="A58" s="198"/>
      <c r="B58" s="138"/>
      <c r="C58" s="206" t="str">
        <f>'Daily Tracker'!D92</f>
        <v/>
      </c>
      <c r="D58" s="138"/>
      <c r="E58" s="200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6"/>
      <c r="Y58" s="197"/>
      <c r="Z58" s="194"/>
    </row>
    <row r="59">
      <c r="A59" s="198"/>
      <c r="B59" s="202">
        <f>B52+1</f>
        <v>9</v>
      </c>
      <c r="C59" s="203" t="str">
        <f>'Daily Tracker'!D97</f>
        <v/>
      </c>
      <c r="D59" s="204" t="str">
        <f>IFERROR(ROUND(AVERAGE(C59:C65),1),NA())</f>
        <v>#N/A</v>
      </c>
      <c r="E59" s="200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6"/>
      <c r="Y59" s="197"/>
      <c r="Z59" s="194"/>
    </row>
    <row r="60">
      <c r="A60" s="198"/>
      <c r="B60" s="121"/>
      <c r="C60" s="205" t="str">
        <f>'Daily Tracker'!D98</f>
        <v/>
      </c>
      <c r="D60" s="121"/>
      <c r="E60" s="200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6"/>
      <c r="Y60" s="197"/>
      <c r="Z60" s="194"/>
    </row>
    <row r="61">
      <c r="A61" s="198"/>
      <c r="B61" s="121"/>
      <c r="C61" s="205" t="str">
        <f>'Daily Tracker'!D99</f>
        <v/>
      </c>
      <c r="D61" s="121"/>
      <c r="E61" s="200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6"/>
      <c r="Y61" s="197"/>
      <c r="Z61" s="194"/>
    </row>
    <row r="62">
      <c r="A62" s="198"/>
      <c r="B62" s="121"/>
      <c r="C62" s="205" t="str">
        <f>'Daily Tracker'!D100</f>
        <v/>
      </c>
      <c r="D62" s="121"/>
      <c r="E62" s="200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6"/>
      <c r="Y62" s="197"/>
      <c r="Z62" s="194"/>
    </row>
    <row r="63">
      <c r="A63" s="198"/>
      <c r="B63" s="121"/>
      <c r="C63" s="205" t="str">
        <f>'Daily Tracker'!D101</f>
        <v/>
      </c>
      <c r="D63" s="121"/>
      <c r="E63" s="200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6"/>
      <c r="Y63" s="197"/>
      <c r="Z63" s="194"/>
    </row>
    <row r="64">
      <c r="A64" s="198"/>
      <c r="B64" s="121"/>
      <c r="C64" s="205" t="str">
        <f>'Daily Tracker'!D102</f>
        <v/>
      </c>
      <c r="D64" s="121"/>
      <c r="E64" s="200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6"/>
      <c r="Y64" s="197"/>
      <c r="Z64" s="194"/>
    </row>
    <row r="65">
      <c r="A65" s="198"/>
      <c r="B65" s="138"/>
      <c r="C65" s="206" t="str">
        <f>'Daily Tracker'!D103</f>
        <v/>
      </c>
      <c r="D65" s="138"/>
      <c r="E65" s="200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6"/>
      <c r="Y65" s="197"/>
      <c r="Z65" s="194"/>
    </row>
    <row r="66">
      <c r="A66" s="198"/>
      <c r="B66" s="202">
        <f>B59+1</f>
        <v>10</v>
      </c>
      <c r="C66" s="203" t="str">
        <f>'Daily Tracker'!D108</f>
        <v/>
      </c>
      <c r="D66" s="204" t="str">
        <f>IFERROR(ROUND(AVERAGE(C66:C72),1),NA())</f>
        <v>#N/A</v>
      </c>
      <c r="E66" s="200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6"/>
      <c r="Y66" s="197"/>
      <c r="Z66" s="194"/>
    </row>
    <row r="67">
      <c r="A67" s="198"/>
      <c r="B67" s="121"/>
      <c r="C67" s="205" t="str">
        <f>'Daily Tracker'!D109</f>
        <v/>
      </c>
      <c r="D67" s="121"/>
      <c r="E67" s="200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6"/>
      <c r="Y67" s="197"/>
      <c r="Z67" s="194"/>
    </row>
    <row r="68">
      <c r="A68" s="198"/>
      <c r="B68" s="121"/>
      <c r="C68" s="205" t="str">
        <f>'Daily Tracker'!D110</f>
        <v/>
      </c>
      <c r="D68" s="121"/>
      <c r="E68" s="200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6"/>
      <c r="Y68" s="197"/>
      <c r="Z68" s="194"/>
    </row>
    <row r="69">
      <c r="A69" s="198"/>
      <c r="B69" s="121"/>
      <c r="C69" s="205" t="str">
        <f>'Daily Tracker'!D111</f>
        <v/>
      </c>
      <c r="D69" s="121"/>
      <c r="E69" s="207"/>
      <c r="F69" s="5"/>
      <c r="G69" s="5"/>
      <c r="H69" s="5"/>
      <c r="I69" s="5"/>
      <c r="J69" s="5"/>
      <c r="K69" s="6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6"/>
      <c r="Y69" s="197"/>
      <c r="Z69" s="194"/>
    </row>
    <row r="70">
      <c r="A70" s="198"/>
      <c r="B70" s="121"/>
      <c r="C70" s="205" t="str">
        <f>'Daily Tracker'!D112</f>
        <v/>
      </c>
      <c r="D70" s="121"/>
      <c r="K70" s="1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6"/>
      <c r="Y70" s="197"/>
      <c r="Z70" s="194"/>
    </row>
    <row r="71">
      <c r="A71" s="198"/>
      <c r="B71" s="121"/>
      <c r="C71" s="205" t="str">
        <f>'Daily Tracker'!D113</f>
        <v/>
      </c>
      <c r="D71" s="121"/>
      <c r="K71" s="1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6"/>
      <c r="Y71" s="197"/>
      <c r="Z71" s="194"/>
    </row>
    <row r="72">
      <c r="A72" s="198"/>
      <c r="B72" s="138"/>
      <c r="C72" s="206" t="str">
        <f>'Daily Tracker'!D114</f>
        <v/>
      </c>
      <c r="D72" s="138"/>
      <c r="K72" s="1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6"/>
      <c r="Y72" s="197"/>
      <c r="Z72" s="194"/>
    </row>
    <row r="73">
      <c r="A73" s="198"/>
      <c r="B73" s="202">
        <f>B66+1</f>
        <v>11</v>
      </c>
      <c r="C73" s="203" t="str">
        <f>'Daily Tracker'!D119</f>
        <v/>
      </c>
      <c r="D73" s="204" t="str">
        <f>IFERROR(ROUND(AVERAGE(C73:C79),1),NA())</f>
        <v>#N/A</v>
      </c>
      <c r="K73" s="1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6"/>
      <c r="Y73" s="197"/>
      <c r="Z73" s="194"/>
    </row>
    <row r="74">
      <c r="A74" s="198"/>
      <c r="B74" s="121"/>
      <c r="C74" s="205" t="str">
        <f>'Daily Tracker'!D120</f>
        <v/>
      </c>
      <c r="D74" s="121"/>
      <c r="K74" s="1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6"/>
      <c r="Y74" s="197"/>
      <c r="Z74" s="194"/>
    </row>
    <row r="75">
      <c r="A75" s="198"/>
      <c r="B75" s="121"/>
      <c r="C75" s="205" t="str">
        <f>'Daily Tracker'!D121</f>
        <v/>
      </c>
      <c r="D75" s="121"/>
      <c r="K75" s="1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6"/>
      <c r="Y75" s="197"/>
      <c r="Z75" s="194"/>
    </row>
    <row r="76">
      <c r="A76" s="198"/>
      <c r="B76" s="121"/>
      <c r="C76" s="205" t="str">
        <f>'Daily Tracker'!D122</f>
        <v/>
      </c>
      <c r="D76" s="121"/>
      <c r="K76" s="1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7"/>
      <c r="Y76" s="197"/>
      <c r="Z76" s="194"/>
    </row>
    <row r="77">
      <c r="A77" s="198"/>
      <c r="B77" s="121"/>
      <c r="C77" s="205" t="str">
        <f>'Daily Tracker'!D123</f>
        <v/>
      </c>
      <c r="D77" s="121"/>
      <c r="E77" s="22"/>
      <c r="F77" s="22"/>
      <c r="G77" s="22"/>
      <c r="H77" s="22"/>
      <c r="I77" s="22"/>
      <c r="J77" s="22"/>
      <c r="K77" s="23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7"/>
      <c r="Y77" s="197"/>
      <c r="Z77" s="194"/>
    </row>
    <row r="78">
      <c r="A78" s="198"/>
      <c r="B78" s="121"/>
      <c r="C78" s="205" t="str">
        <f>'Daily Tracker'!D124</f>
        <v/>
      </c>
      <c r="D78" s="121"/>
      <c r="E78" s="200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7"/>
      <c r="Y78" s="197"/>
      <c r="Z78" s="194"/>
    </row>
    <row r="79">
      <c r="A79" s="198"/>
      <c r="B79" s="138"/>
      <c r="C79" s="206" t="str">
        <f>'Daily Tracker'!D125</f>
        <v/>
      </c>
      <c r="D79" s="138"/>
      <c r="E79" s="200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7"/>
      <c r="Y79" s="197"/>
      <c r="Z79" s="194"/>
    </row>
    <row r="80">
      <c r="A80" s="198"/>
      <c r="B80" s="202">
        <f>B73+1</f>
        <v>12</v>
      </c>
      <c r="C80" s="203" t="str">
        <f>'Daily Tracker'!D130</f>
        <v/>
      </c>
      <c r="D80" s="204" t="str">
        <f>IFERROR(ROUND(AVERAGE(C80:C86),1),NA())</f>
        <v>#N/A</v>
      </c>
      <c r="E80" s="200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7"/>
      <c r="Y80" s="197"/>
      <c r="Z80" s="194"/>
    </row>
    <row r="81">
      <c r="A81" s="198"/>
      <c r="B81" s="121"/>
      <c r="C81" s="205" t="str">
        <f>'Daily Tracker'!D131</f>
        <v/>
      </c>
      <c r="D81" s="121"/>
      <c r="E81" s="200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7"/>
      <c r="Y81" s="197"/>
      <c r="Z81" s="194"/>
    </row>
    <row r="82">
      <c r="A82" s="198"/>
      <c r="B82" s="121"/>
      <c r="C82" s="205" t="str">
        <f>'Daily Tracker'!D132</f>
        <v/>
      </c>
      <c r="D82" s="121"/>
      <c r="E82" s="200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7"/>
      <c r="Y82" s="197"/>
      <c r="Z82" s="194"/>
    </row>
    <row r="83">
      <c r="A83" s="198"/>
      <c r="B83" s="121"/>
      <c r="C83" s="205" t="str">
        <f>'Daily Tracker'!D133</f>
        <v/>
      </c>
      <c r="D83" s="121"/>
      <c r="E83" s="200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7"/>
      <c r="Y83" s="197"/>
      <c r="Z83" s="194"/>
    </row>
    <row r="84">
      <c r="A84" s="198"/>
      <c r="B84" s="121"/>
      <c r="C84" s="205" t="str">
        <f>'Daily Tracker'!D134</f>
        <v/>
      </c>
      <c r="D84" s="121"/>
      <c r="E84" s="200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7"/>
      <c r="Y84" s="197"/>
      <c r="Z84" s="194"/>
    </row>
    <row r="85">
      <c r="A85" s="198"/>
      <c r="B85" s="121"/>
      <c r="C85" s="205" t="str">
        <f>'Daily Tracker'!D135</f>
        <v/>
      </c>
      <c r="D85" s="121"/>
      <c r="E85" s="200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7"/>
      <c r="Y85" s="197"/>
      <c r="Z85" s="194"/>
    </row>
    <row r="86">
      <c r="A86" s="198"/>
      <c r="B86" s="138"/>
      <c r="C86" s="206" t="str">
        <f>'Daily Tracker'!D136</f>
        <v/>
      </c>
      <c r="D86" s="138"/>
      <c r="E86" s="200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7"/>
      <c r="Y86" s="197"/>
      <c r="Z86" s="194"/>
    </row>
    <row r="87">
      <c r="A87" s="198"/>
      <c r="B87" s="202">
        <f>B80+1</f>
        <v>13</v>
      </c>
      <c r="C87" s="203" t="str">
        <f>'Daily Tracker'!D141</f>
        <v/>
      </c>
      <c r="D87" s="204" t="str">
        <f>IFERROR(ROUND(AVERAGE(C87:C93),1),NA())</f>
        <v>#N/A</v>
      </c>
      <c r="E87" s="200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7"/>
      <c r="Y87" s="197"/>
      <c r="Z87" s="194"/>
    </row>
    <row r="88">
      <c r="A88" s="198"/>
      <c r="B88" s="121"/>
      <c r="C88" s="205" t="str">
        <f>'Daily Tracker'!D142</f>
        <v/>
      </c>
      <c r="D88" s="121"/>
      <c r="E88" s="200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7"/>
      <c r="Y88" s="197"/>
      <c r="Z88" s="194"/>
    </row>
    <row r="89">
      <c r="A89" s="198"/>
      <c r="B89" s="121"/>
      <c r="C89" s="205" t="str">
        <f>'Daily Tracker'!D143</f>
        <v/>
      </c>
      <c r="D89" s="121"/>
      <c r="E89" s="200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7"/>
      <c r="Y89" s="197"/>
      <c r="Z89" s="194"/>
    </row>
    <row r="90">
      <c r="A90" s="198"/>
      <c r="B90" s="121"/>
      <c r="C90" s="205" t="str">
        <f>'Daily Tracker'!D144</f>
        <v/>
      </c>
      <c r="D90" s="121"/>
      <c r="E90" s="200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7"/>
      <c r="Y90" s="197"/>
      <c r="Z90" s="194"/>
    </row>
    <row r="91">
      <c r="A91" s="198"/>
      <c r="B91" s="121"/>
      <c r="C91" s="205" t="str">
        <f>'Daily Tracker'!D145</f>
        <v/>
      </c>
      <c r="D91" s="121"/>
      <c r="E91" s="200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7"/>
      <c r="Y91" s="197"/>
      <c r="Z91" s="194"/>
    </row>
    <row r="92">
      <c r="A92" s="198"/>
      <c r="B92" s="121"/>
      <c r="C92" s="205" t="str">
        <f>'Daily Tracker'!D146</f>
        <v/>
      </c>
      <c r="D92" s="121"/>
      <c r="E92" s="200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7"/>
      <c r="Y92" s="197"/>
      <c r="Z92" s="194"/>
    </row>
    <row r="93">
      <c r="A93" s="198"/>
      <c r="B93" s="138"/>
      <c r="C93" s="206" t="str">
        <f>'Daily Tracker'!D147</f>
        <v/>
      </c>
      <c r="D93" s="138"/>
      <c r="E93" s="200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7"/>
      <c r="Y93" s="197"/>
      <c r="Z93" s="194"/>
    </row>
    <row r="94">
      <c r="A94" s="198"/>
      <c r="B94" s="202">
        <f>B87+1</f>
        <v>14</v>
      </c>
      <c r="C94" s="203" t="str">
        <f>'Daily Tracker'!D152</f>
        <v/>
      </c>
      <c r="D94" s="204" t="str">
        <f>IFERROR(ROUND(AVERAGE(C94:C100),1),NA())</f>
        <v>#N/A</v>
      </c>
      <c r="E94" s="200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7"/>
      <c r="Y94" s="197"/>
      <c r="Z94" s="194"/>
    </row>
    <row r="95">
      <c r="A95" s="198"/>
      <c r="B95" s="121"/>
      <c r="C95" s="205" t="str">
        <f>'Daily Tracker'!D153</f>
        <v/>
      </c>
      <c r="D95" s="121"/>
      <c r="E95" s="200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7"/>
      <c r="Y95" s="197"/>
      <c r="Z95" s="194"/>
    </row>
    <row r="96">
      <c r="A96" s="198"/>
      <c r="B96" s="121"/>
      <c r="C96" s="205" t="str">
        <f>'Daily Tracker'!D154</f>
        <v/>
      </c>
      <c r="D96" s="121"/>
      <c r="E96" s="200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7"/>
      <c r="Y96" s="197"/>
      <c r="Z96" s="194"/>
    </row>
    <row r="97">
      <c r="A97" s="198"/>
      <c r="B97" s="121"/>
      <c r="C97" s="205" t="str">
        <f>'Daily Tracker'!D155</f>
        <v/>
      </c>
      <c r="D97" s="121"/>
      <c r="E97" s="200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7"/>
      <c r="Y97" s="197"/>
      <c r="Z97" s="194"/>
    </row>
    <row r="98">
      <c r="A98" s="198"/>
      <c r="B98" s="121"/>
      <c r="C98" s="205" t="str">
        <f>'Daily Tracker'!D156</f>
        <v/>
      </c>
      <c r="D98" s="121"/>
      <c r="E98" s="200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7"/>
      <c r="Y98" s="197"/>
      <c r="Z98" s="194"/>
    </row>
    <row r="99">
      <c r="A99" s="198"/>
      <c r="B99" s="121"/>
      <c r="C99" s="205" t="str">
        <f>'Daily Tracker'!D157</f>
        <v/>
      </c>
      <c r="D99" s="121"/>
      <c r="E99" s="200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7"/>
      <c r="Y99" s="197"/>
      <c r="Z99" s="194"/>
    </row>
    <row r="100">
      <c r="A100" s="198"/>
      <c r="B100" s="138"/>
      <c r="C100" s="206" t="str">
        <f>'Daily Tracker'!D158</f>
        <v/>
      </c>
      <c r="D100" s="138"/>
      <c r="E100" s="200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7"/>
      <c r="Y100" s="197"/>
      <c r="Z100" s="194"/>
    </row>
    <row r="101">
      <c r="A101" s="198"/>
      <c r="B101" s="202">
        <f>B94+1</f>
        <v>15</v>
      </c>
      <c r="C101" s="203" t="str">
        <f>'Daily Tracker'!D163</f>
        <v/>
      </c>
      <c r="D101" s="204" t="str">
        <f>IFERROR(ROUND(AVERAGE(C101:C107),1),NA())</f>
        <v>#N/A</v>
      </c>
      <c r="E101" s="200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7"/>
      <c r="Y101" s="197"/>
      <c r="Z101" s="194"/>
    </row>
    <row r="102">
      <c r="A102" s="198"/>
      <c r="B102" s="121"/>
      <c r="C102" s="205" t="str">
        <f>'Daily Tracker'!D164</f>
        <v/>
      </c>
      <c r="D102" s="121"/>
      <c r="E102" s="200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7"/>
      <c r="Y102" s="197"/>
      <c r="Z102" s="194"/>
    </row>
    <row r="103">
      <c r="A103" s="198"/>
      <c r="B103" s="121"/>
      <c r="C103" s="205" t="str">
        <f>'Daily Tracker'!D165</f>
        <v/>
      </c>
      <c r="D103" s="121"/>
      <c r="E103" s="200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7"/>
      <c r="Y103" s="197"/>
      <c r="Z103" s="194"/>
    </row>
    <row r="104">
      <c r="A104" s="198"/>
      <c r="B104" s="121"/>
      <c r="C104" s="205" t="str">
        <f>'Daily Tracker'!D166</f>
        <v/>
      </c>
      <c r="D104" s="121"/>
      <c r="E104" s="200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7"/>
      <c r="Y104" s="197"/>
      <c r="Z104" s="194"/>
    </row>
    <row r="105">
      <c r="A105" s="198"/>
      <c r="B105" s="121"/>
      <c r="C105" s="205" t="str">
        <f>'Daily Tracker'!D167</f>
        <v/>
      </c>
      <c r="D105" s="121"/>
      <c r="E105" s="200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7"/>
      <c r="Y105" s="197"/>
      <c r="Z105" s="194"/>
    </row>
    <row r="106">
      <c r="A106" s="198"/>
      <c r="B106" s="121"/>
      <c r="C106" s="205" t="str">
        <f>'Daily Tracker'!D168</f>
        <v/>
      </c>
      <c r="D106" s="121"/>
      <c r="E106" s="200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7"/>
      <c r="Y106" s="197"/>
      <c r="Z106" s="194"/>
    </row>
    <row r="107">
      <c r="A107" s="198"/>
      <c r="B107" s="138"/>
      <c r="C107" s="206" t="str">
        <f>'Daily Tracker'!D169</f>
        <v/>
      </c>
      <c r="D107" s="138"/>
      <c r="E107" s="200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7"/>
      <c r="Y107" s="197"/>
      <c r="Z107" s="194"/>
    </row>
    <row r="108">
      <c r="A108" s="198"/>
      <c r="B108" s="202">
        <f>B101+1</f>
        <v>16</v>
      </c>
      <c r="C108" s="203" t="str">
        <f>'Daily Tracker'!D174</f>
        <v/>
      </c>
      <c r="D108" s="204" t="str">
        <f>IFERROR(ROUND(AVERAGE(C108:C114),1),NA())</f>
        <v>#N/A</v>
      </c>
      <c r="E108" s="200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7"/>
      <c r="Y108" s="197"/>
      <c r="Z108" s="194"/>
    </row>
    <row r="109">
      <c r="A109" s="198"/>
      <c r="B109" s="121"/>
      <c r="C109" s="205" t="str">
        <f>'Daily Tracker'!D175</f>
        <v/>
      </c>
      <c r="D109" s="121"/>
      <c r="E109" s="200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7"/>
      <c r="Y109" s="197"/>
      <c r="Z109" s="194"/>
    </row>
    <row r="110">
      <c r="A110" s="198"/>
      <c r="B110" s="121"/>
      <c r="C110" s="205" t="str">
        <f>'Daily Tracker'!D176</f>
        <v/>
      </c>
      <c r="D110" s="121"/>
      <c r="E110" s="200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7"/>
      <c r="Y110" s="197"/>
      <c r="Z110" s="194"/>
    </row>
    <row r="111">
      <c r="A111" s="198"/>
      <c r="B111" s="121"/>
      <c r="C111" s="205" t="str">
        <f>'Daily Tracker'!D177</f>
        <v/>
      </c>
      <c r="D111" s="121"/>
      <c r="E111" s="200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7"/>
      <c r="Y111" s="197"/>
      <c r="Z111" s="194"/>
    </row>
    <row r="112">
      <c r="A112" s="198"/>
      <c r="B112" s="121"/>
      <c r="C112" s="205" t="str">
        <f>'Daily Tracker'!D178</f>
        <v/>
      </c>
      <c r="D112" s="121"/>
      <c r="E112" s="200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7"/>
      <c r="Y112" s="197"/>
      <c r="Z112" s="194"/>
    </row>
    <row r="113">
      <c r="A113" s="198"/>
      <c r="B113" s="121"/>
      <c r="C113" s="205" t="str">
        <f>'Daily Tracker'!D179</f>
        <v/>
      </c>
      <c r="D113" s="121"/>
      <c r="E113" s="200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7"/>
      <c r="Y113" s="197"/>
      <c r="Z113" s="194"/>
    </row>
    <row r="114">
      <c r="A114" s="198"/>
      <c r="B114" s="138"/>
      <c r="C114" s="206" t="str">
        <f>'Daily Tracker'!D180</f>
        <v/>
      </c>
      <c r="D114" s="138"/>
      <c r="E114" s="200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7"/>
      <c r="Y114" s="197"/>
      <c r="Z114" s="194"/>
    </row>
    <row r="115">
      <c r="A115" s="198"/>
      <c r="B115" s="202">
        <f>B108+1</f>
        <v>17</v>
      </c>
      <c r="C115" s="203" t="str">
        <f>'Daily Tracker'!D185</f>
        <v/>
      </c>
      <c r="D115" s="204" t="str">
        <f>IFERROR(ROUND(AVERAGE(C115:C121),1),NA())</f>
        <v>#N/A</v>
      </c>
      <c r="E115" s="200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7"/>
      <c r="Y115" s="197"/>
      <c r="Z115" s="194"/>
    </row>
    <row r="116">
      <c r="A116" s="198"/>
      <c r="B116" s="121"/>
      <c r="C116" s="205" t="str">
        <f>'Daily Tracker'!D186</f>
        <v/>
      </c>
      <c r="D116" s="121"/>
      <c r="E116" s="200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7"/>
      <c r="Y116" s="197"/>
      <c r="Z116" s="194"/>
    </row>
    <row r="117">
      <c r="A117" s="198"/>
      <c r="B117" s="121"/>
      <c r="C117" s="205" t="str">
        <f>'Daily Tracker'!D187</f>
        <v/>
      </c>
      <c r="D117" s="121"/>
      <c r="E117" s="200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7"/>
      <c r="Y117" s="197"/>
      <c r="Z117" s="194"/>
    </row>
    <row r="118">
      <c r="A118" s="198"/>
      <c r="B118" s="121"/>
      <c r="C118" s="205" t="str">
        <f>'Daily Tracker'!D188</f>
        <v/>
      </c>
      <c r="D118" s="121"/>
      <c r="E118" s="200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7"/>
      <c r="Y118" s="197"/>
      <c r="Z118" s="194"/>
    </row>
    <row r="119">
      <c r="A119" s="198"/>
      <c r="B119" s="121"/>
      <c r="C119" s="205" t="str">
        <f>'Daily Tracker'!D189</f>
        <v/>
      </c>
      <c r="D119" s="121"/>
      <c r="E119" s="200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7"/>
      <c r="Y119" s="197"/>
      <c r="Z119" s="194"/>
    </row>
    <row r="120">
      <c r="A120" s="198"/>
      <c r="B120" s="121"/>
      <c r="C120" s="205" t="str">
        <f>'Daily Tracker'!D190</f>
        <v/>
      </c>
      <c r="D120" s="121"/>
      <c r="E120" s="200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7"/>
      <c r="Y120" s="197"/>
      <c r="Z120" s="194"/>
    </row>
    <row r="121">
      <c r="A121" s="198"/>
      <c r="B121" s="138"/>
      <c r="C121" s="206" t="str">
        <f>'Daily Tracker'!D191</f>
        <v/>
      </c>
      <c r="D121" s="138"/>
      <c r="E121" s="200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7"/>
      <c r="Y121" s="197"/>
      <c r="Z121" s="194"/>
    </row>
    <row r="122">
      <c r="A122" s="198"/>
      <c r="B122" s="202">
        <f>B115+1</f>
        <v>18</v>
      </c>
      <c r="C122" s="203" t="str">
        <f>'Daily Tracker'!D196</f>
        <v/>
      </c>
      <c r="D122" s="204" t="str">
        <f>IFERROR(ROUND(AVERAGE(C122:C128),1),NA())</f>
        <v>#N/A</v>
      </c>
      <c r="E122" s="200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7"/>
      <c r="Y122" s="197"/>
      <c r="Z122" s="194"/>
    </row>
    <row r="123">
      <c r="A123" s="198"/>
      <c r="B123" s="121"/>
      <c r="C123" s="205" t="str">
        <f>'Daily Tracker'!D197</f>
        <v/>
      </c>
      <c r="D123" s="121"/>
      <c r="E123" s="200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7"/>
      <c r="Y123" s="197"/>
      <c r="Z123" s="194"/>
    </row>
    <row r="124">
      <c r="A124" s="198"/>
      <c r="B124" s="121"/>
      <c r="C124" s="205" t="str">
        <f>'Daily Tracker'!D198</f>
        <v/>
      </c>
      <c r="D124" s="121"/>
      <c r="E124" s="200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7"/>
      <c r="Y124" s="197"/>
      <c r="Z124" s="194"/>
    </row>
    <row r="125">
      <c r="A125" s="198"/>
      <c r="B125" s="121"/>
      <c r="C125" s="205" t="str">
        <f>'Daily Tracker'!D199</f>
        <v/>
      </c>
      <c r="D125" s="121"/>
      <c r="E125" s="200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7"/>
      <c r="Y125" s="197"/>
      <c r="Z125" s="194"/>
    </row>
    <row r="126">
      <c r="A126" s="198"/>
      <c r="B126" s="121"/>
      <c r="C126" s="205" t="str">
        <f>'Daily Tracker'!D200</f>
        <v/>
      </c>
      <c r="D126" s="121"/>
      <c r="E126" s="200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7"/>
      <c r="Y126" s="197"/>
      <c r="Z126" s="194"/>
    </row>
    <row r="127">
      <c r="A127" s="198"/>
      <c r="B127" s="121"/>
      <c r="C127" s="205" t="str">
        <f>'Daily Tracker'!D201</f>
        <v/>
      </c>
      <c r="D127" s="121"/>
      <c r="E127" s="200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7"/>
      <c r="Y127" s="197"/>
      <c r="Z127" s="194"/>
    </row>
    <row r="128">
      <c r="A128" s="198"/>
      <c r="B128" s="138"/>
      <c r="C128" s="206" t="str">
        <f>'Daily Tracker'!D202</f>
        <v/>
      </c>
      <c r="D128" s="138"/>
      <c r="E128" s="200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7"/>
      <c r="Y128" s="197"/>
      <c r="Z128" s="194"/>
    </row>
    <row r="129">
      <c r="A129" s="198"/>
      <c r="B129" s="202">
        <f>B122+1</f>
        <v>19</v>
      </c>
      <c r="C129" s="203" t="str">
        <f>'Daily Tracker'!D207</f>
        <v/>
      </c>
      <c r="D129" s="204" t="str">
        <f>IFERROR(ROUND(AVERAGE(C129:C135),1),NA())</f>
        <v>#N/A</v>
      </c>
      <c r="E129" s="200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7"/>
      <c r="Y129" s="197"/>
      <c r="Z129" s="194"/>
    </row>
    <row r="130">
      <c r="A130" s="198"/>
      <c r="B130" s="121"/>
      <c r="C130" s="205" t="str">
        <f>'Daily Tracker'!D208</f>
        <v/>
      </c>
      <c r="D130" s="121"/>
      <c r="E130" s="200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7"/>
      <c r="Y130" s="197"/>
      <c r="Z130" s="194"/>
    </row>
    <row r="131">
      <c r="A131" s="198"/>
      <c r="B131" s="121"/>
      <c r="C131" s="205" t="str">
        <f>'Daily Tracker'!D209</f>
        <v/>
      </c>
      <c r="D131" s="121"/>
      <c r="E131" s="200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7"/>
      <c r="Y131" s="197"/>
      <c r="Z131" s="194"/>
    </row>
    <row r="132">
      <c r="A132" s="198"/>
      <c r="B132" s="121"/>
      <c r="C132" s="205" t="str">
        <f>'Daily Tracker'!D210</f>
        <v/>
      </c>
      <c r="D132" s="121"/>
      <c r="E132" s="200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7"/>
      <c r="Y132" s="197"/>
      <c r="Z132" s="194"/>
    </row>
    <row r="133">
      <c r="A133" s="198"/>
      <c r="B133" s="121"/>
      <c r="C133" s="205" t="str">
        <f>'Daily Tracker'!D211</f>
        <v/>
      </c>
      <c r="D133" s="121"/>
      <c r="E133" s="200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7"/>
      <c r="Y133" s="197"/>
      <c r="Z133" s="194"/>
    </row>
    <row r="134">
      <c r="A134" s="198"/>
      <c r="B134" s="121"/>
      <c r="C134" s="205" t="str">
        <f>'Daily Tracker'!D212</f>
        <v/>
      </c>
      <c r="D134" s="121"/>
      <c r="E134" s="200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7"/>
      <c r="Y134" s="197"/>
      <c r="Z134" s="194"/>
    </row>
    <row r="135">
      <c r="A135" s="198"/>
      <c r="B135" s="138"/>
      <c r="C135" s="206" t="str">
        <f>'Daily Tracker'!D213</f>
        <v/>
      </c>
      <c r="D135" s="138"/>
      <c r="E135" s="200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7"/>
      <c r="Y135" s="197"/>
      <c r="Z135" s="194"/>
    </row>
    <row r="136">
      <c r="A136" s="198"/>
      <c r="B136" s="202">
        <f>B129+1</f>
        <v>20</v>
      </c>
      <c r="C136" s="203" t="str">
        <f>'Daily Tracker'!D218</f>
        <v/>
      </c>
      <c r="D136" s="204" t="str">
        <f>IFERROR(ROUND(AVERAGE(C136:C142),1),NA())</f>
        <v>#N/A</v>
      </c>
      <c r="E136" s="200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7"/>
      <c r="Y136" s="197"/>
      <c r="Z136" s="194"/>
    </row>
    <row r="137">
      <c r="A137" s="198"/>
      <c r="B137" s="121"/>
      <c r="C137" s="205" t="str">
        <f>'Daily Tracker'!D219</f>
        <v/>
      </c>
      <c r="D137" s="121"/>
      <c r="E137" s="200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7"/>
      <c r="Y137" s="197"/>
      <c r="Z137" s="194"/>
    </row>
    <row r="138">
      <c r="A138" s="198"/>
      <c r="B138" s="121"/>
      <c r="C138" s="205" t="str">
        <f>'Daily Tracker'!D220</f>
        <v/>
      </c>
      <c r="D138" s="121"/>
      <c r="E138" s="200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7"/>
      <c r="Y138" s="197"/>
      <c r="Z138" s="194"/>
    </row>
    <row r="139">
      <c r="A139" s="198"/>
      <c r="B139" s="121"/>
      <c r="C139" s="205" t="str">
        <f>'Daily Tracker'!D221</f>
        <v/>
      </c>
      <c r="D139" s="121"/>
      <c r="E139" s="200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7"/>
      <c r="Y139" s="197"/>
      <c r="Z139" s="194"/>
    </row>
    <row r="140">
      <c r="A140" s="198"/>
      <c r="B140" s="121"/>
      <c r="C140" s="205" t="str">
        <f>'Daily Tracker'!D222</f>
        <v/>
      </c>
      <c r="D140" s="121"/>
      <c r="E140" s="200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7"/>
      <c r="Y140" s="197"/>
      <c r="Z140" s="194"/>
    </row>
    <row r="141">
      <c r="A141" s="198"/>
      <c r="B141" s="121"/>
      <c r="C141" s="205" t="str">
        <f>'Daily Tracker'!D223</f>
        <v/>
      </c>
      <c r="D141" s="121"/>
      <c r="E141" s="200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7"/>
      <c r="Y141" s="197"/>
      <c r="Z141" s="194"/>
    </row>
    <row r="142">
      <c r="A142" s="198"/>
      <c r="B142" s="138"/>
      <c r="C142" s="206" t="str">
        <f>'Daily Tracker'!D224</f>
        <v/>
      </c>
      <c r="D142" s="138"/>
      <c r="E142" s="200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7"/>
      <c r="Y142" s="197"/>
      <c r="Z142" s="194"/>
    </row>
    <row r="143">
      <c r="A143" s="198"/>
      <c r="B143" s="202">
        <f>B136+1</f>
        <v>21</v>
      </c>
      <c r="C143" s="203" t="str">
        <f>'Daily Tracker'!D229</f>
        <v/>
      </c>
      <c r="D143" s="204" t="str">
        <f>IFERROR(ROUND(AVERAGE(C143:C149),1),NA())</f>
        <v>#N/A</v>
      </c>
      <c r="E143" s="200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7"/>
      <c r="Y143" s="197"/>
      <c r="Z143" s="194"/>
    </row>
    <row r="144">
      <c r="A144" s="198"/>
      <c r="B144" s="121"/>
      <c r="C144" s="205" t="str">
        <f>'Daily Tracker'!D230</f>
        <v/>
      </c>
      <c r="D144" s="121"/>
      <c r="E144" s="200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7"/>
      <c r="Y144" s="197"/>
      <c r="Z144" s="194"/>
    </row>
    <row r="145">
      <c r="A145" s="198"/>
      <c r="B145" s="121"/>
      <c r="C145" s="205" t="str">
        <f>'Daily Tracker'!D231</f>
        <v/>
      </c>
      <c r="D145" s="121"/>
      <c r="E145" s="200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7"/>
      <c r="Y145" s="197"/>
      <c r="Z145" s="194"/>
    </row>
    <row r="146">
      <c r="A146" s="198"/>
      <c r="B146" s="121"/>
      <c r="C146" s="205" t="str">
        <f>'Daily Tracker'!D232</f>
        <v/>
      </c>
      <c r="D146" s="121"/>
      <c r="E146" s="200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7"/>
      <c r="Y146" s="197"/>
      <c r="Z146" s="194"/>
    </row>
    <row r="147">
      <c r="A147" s="198"/>
      <c r="B147" s="121"/>
      <c r="C147" s="205" t="str">
        <f>'Daily Tracker'!D233</f>
        <v/>
      </c>
      <c r="D147" s="121"/>
      <c r="E147" s="200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7"/>
      <c r="Y147" s="197"/>
      <c r="Z147" s="194"/>
    </row>
    <row r="148">
      <c r="A148" s="198"/>
      <c r="B148" s="121"/>
      <c r="C148" s="205" t="str">
        <f>'Daily Tracker'!D234</f>
        <v/>
      </c>
      <c r="D148" s="121"/>
      <c r="E148" s="200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7"/>
      <c r="Y148" s="197"/>
      <c r="Z148" s="194"/>
    </row>
    <row r="149">
      <c r="A149" s="198"/>
      <c r="B149" s="138"/>
      <c r="C149" s="206" t="str">
        <f>'Daily Tracker'!D235</f>
        <v/>
      </c>
      <c r="D149" s="138"/>
      <c r="E149" s="200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7"/>
      <c r="Y149" s="197"/>
      <c r="Z149" s="194"/>
    </row>
    <row r="150">
      <c r="A150" s="198"/>
      <c r="B150" s="202">
        <f>B143+1</f>
        <v>22</v>
      </c>
      <c r="C150" s="203" t="str">
        <f>'Daily Tracker'!D240</f>
        <v/>
      </c>
      <c r="D150" s="204" t="str">
        <f>IFERROR(ROUND(AVERAGE(C150:C156),1),NA())</f>
        <v>#N/A</v>
      </c>
      <c r="E150" s="200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7"/>
      <c r="Y150" s="197"/>
      <c r="Z150" s="194"/>
    </row>
    <row r="151">
      <c r="A151" s="198"/>
      <c r="B151" s="121"/>
      <c r="C151" s="205" t="str">
        <f>'Daily Tracker'!D241</f>
        <v/>
      </c>
      <c r="D151" s="121"/>
      <c r="E151" s="200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7"/>
      <c r="Y151" s="197"/>
      <c r="Z151" s="194"/>
    </row>
    <row r="152">
      <c r="A152" s="198"/>
      <c r="B152" s="121"/>
      <c r="C152" s="205" t="str">
        <f>'Daily Tracker'!D242</f>
        <v/>
      </c>
      <c r="D152" s="121"/>
      <c r="E152" s="200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7"/>
      <c r="Y152" s="197"/>
      <c r="Z152" s="194"/>
    </row>
    <row r="153">
      <c r="A153" s="198"/>
      <c r="B153" s="121"/>
      <c r="C153" s="205" t="str">
        <f>'Daily Tracker'!D243</f>
        <v/>
      </c>
      <c r="D153" s="121"/>
      <c r="E153" s="200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7"/>
      <c r="Y153" s="197"/>
      <c r="Z153" s="194"/>
    </row>
    <row r="154">
      <c r="A154" s="198"/>
      <c r="B154" s="121"/>
      <c r="C154" s="205" t="str">
        <f>'Daily Tracker'!D244</f>
        <v/>
      </c>
      <c r="D154" s="121"/>
      <c r="E154" s="200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7"/>
      <c r="Y154" s="197"/>
      <c r="Z154" s="194"/>
    </row>
    <row r="155">
      <c r="A155" s="198"/>
      <c r="B155" s="121"/>
      <c r="C155" s="205" t="str">
        <f>'Daily Tracker'!D245</f>
        <v/>
      </c>
      <c r="D155" s="121"/>
      <c r="E155" s="200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7"/>
      <c r="Y155" s="197"/>
      <c r="Z155" s="194"/>
    </row>
    <row r="156">
      <c r="A156" s="198"/>
      <c r="B156" s="138"/>
      <c r="C156" s="206" t="str">
        <f>'Daily Tracker'!D246</f>
        <v/>
      </c>
      <c r="D156" s="138"/>
      <c r="E156" s="200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7"/>
      <c r="Y156" s="197"/>
      <c r="Z156" s="194"/>
    </row>
    <row r="157">
      <c r="A157" s="198"/>
      <c r="B157" s="202">
        <f>B150+1</f>
        <v>23</v>
      </c>
      <c r="C157" s="203" t="str">
        <f>'Daily Tracker'!D251</f>
        <v/>
      </c>
      <c r="D157" s="204" t="str">
        <f>IFERROR(ROUND(AVERAGE(C157:C163),1),NA())</f>
        <v>#N/A</v>
      </c>
      <c r="E157" s="200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7"/>
      <c r="Y157" s="197"/>
      <c r="Z157" s="194"/>
    </row>
    <row r="158">
      <c r="A158" s="198"/>
      <c r="B158" s="121"/>
      <c r="C158" s="205" t="str">
        <f>'Daily Tracker'!D252</f>
        <v/>
      </c>
      <c r="D158" s="121"/>
      <c r="E158" s="200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7"/>
      <c r="Y158" s="197"/>
      <c r="Z158" s="194"/>
    </row>
    <row r="159">
      <c r="A159" s="198"/>
      <c r="B159" s="121"/>
      <c r="C159" s="205" t="str">
        <f>'Daily Tracker'!D253</f>
        <v/>
      </c>
      <c r="D159" s="121"/>
      <c r="E159" s="200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7"/>
      <c r="Y159" s="197"/>
      <c r="Z159" s="194"/>
    </row>
    <row r="160">
      <c r="A160" s="198"/>
      <c r="B160" s="121"/>
      <c r="C160" s="205" t="str">
        <f>'Daily Tracker'!D254</f>
        <v/>
      </c>
      <c r="D160" s="121"/>
      <c r="E160" s="200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7"/>
      <c r="Y160" s="197"/>
      <c r="Z160" s="194"/>
    </row>
    <row r="161">
      <c r="A161" s="198"/>
      <c r="B161" s="121"/>
      <c r="C161" s="205" t="str">
        <f>'Daily Tracker'!D255</f>
        <v/>
      </c>
      <c r="D161" s="121"/>
      <c r="E161" s="200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7"/>
      <c r="Y161" s="197"/>
      <c r="Z161" s="194"/>
    </row>
    <row r="162">
      <c r="A162" s="198"/>
      <c r="B162" s="121"/>
      <c r="C162" s="205" t="str">
        <f>'Daily Tracker'!D256</f>
        <v/>
      </c>
      <c r="D162" s="121"/>
      <c r="E162" s="200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7"/>
      <c r="Y162" s="197"/>
      <c r="Z162" s="194"/>
    </row>
    <row r="163">
      <c r="A163" s="198"/>
      <c r="B163" s="138"/>
      <c r="C163" s="206" t="str">
        <f>'Daily Tracker'!D257</f>
        <v/>
      </c>
      <c r="D163" s="138"/>
      <c r="E163" s="200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7"/>
      <c r="Y163" s="197"/>
      <c r="Z163" s="194"/>
    </row>
    <row r="164">
      <c r="A164" s="198"/>
      <c r="B164" s="202">
        <f>B157+1</f>
        <v>24</v>
      </c>
      <c r="C164" s="203" t="str">
        <f>'Daily Tracker'!D262</f>
        <v/>
      </c>
      <c r="D164" s="204" t="str">
        <f>IFERROR(ROUND(AVERAGE(C164:C170),1),NA())</f>
        <v>#N/A</v>
      </c>
      <c r="E164" s="200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7"/>
      <c r="Y164" s="197"/>
      <c r="Z164" s="194"/>
    </row>
    <row r="165">
      <c r="A165" s="198"/>
      <c r="B165" s="121"/>
      <c r="C165" s="205" t="str">
        <f>'Daily Tracker'!D263</f>
        <v/>
      </c>
      <c r="D165" s="121"/>
      <c r="E165" s="200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7"/>
      <c r="Y165" s="197"/>
      <c r="Z165" s="194"/>
    </row>
    <row r="166">
      <c r="A166" s="198"/>
      <c r="B166" s="121"/>
      <c r="C166" s="205" t="str">
        <f>'Daily Tracker'!D264</f>
        <v/>
      </c>
      <c r="D166" s="121"/>
      <c r="E166" s="200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7"/>
      <c r="Y166" s="197"/>
      <c r="Z166" s="194"/>
    </row>
    <row r="167">
      <c r="A167" s="198"/>
      <c r="B167" s="121"/>
      <c r="C167" s="205" t="str">
        <f>'Daily Tracker'!D265</f>
        <v/>
      </c>
      <c r="D167" s="121"/>
      <c r="E167" s="200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7"/>
      <c r="Y167" s="197"/>
      <c r="Z167" s="194"/>
    </row>
    <row r="168">
      <c r="A168" s="198"/>
      <c r="B168" s="121"/>
      <c r="C168" s="205" t="str">
        <f>'Daily Tracker'!D266</f>
        <v/>
      </c>
      <c r="D168" s="121"/>
      <c r="E168" s="200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7"/>
      <c r="Y168" s="197"/>
      <c r="Z168" s="194"/>
    </row>
    <row r="169">
      <c r="A169" s="198"/>
      <c r="B169" s="121"/>
      <c r="C169" s="205" t="str">
        <f>'Daily Tracker'!D267</f>
        <v/>
      </c>
      <c r="D169" s="121"/>
      <c r="E169" s="200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7"/>
      <c r="Y169" s="197"/>
      <c r="Z169" s="194"/>
    </row>
    <row r="170">
      <c r="A170" s="198"/>
      <c r="B170" s="138"/>
      <c r="C170" s="206" t="str">
        <f>'Daily Tracker'!D268</f>
        <v/>
      </c>
      <c r="D170" s="138"/>
      <c r="E170" s="200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7"/>
      <c r="Y170" s="197"/>
      <c r="Z170" s="194"/>
    </row>
    <row r="171">
      <c r="A171" s="198"/>
      <c r="B171" s="202">
        <f>B164+1</f>
        <v>25</v>
      </c>
      <c r="C171" s="203" t="str">
        <f>'Daily Tracker'!D273</f>
        <v/>
      </c>
      <c r="D171" s="204" t="str">
        <f>IFERROR(ROUND(AVERAGE(C171:C177),1),NA())</f>
        <v>#N/A</v>
      </c>
      <c r="E171" s="200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7"/>
      <c r="Y171" s="197"/>
      <c r="Z171" s="194"/>
    </row>
    <row r="172">
      <c r="A172" s="198"/>
      <c r="B172" s="121"/>
      <c r="C172" s="205" t="str">
        <f>'Daily Tracker'!D274</f>
        <v/>
      </c>
      <c r="D172" s="121"/>
      <c r="E172" s="200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7"/>
      <c r="Y172" s="197"/>
      <c r="Z172" s="194"/>
    </row>
    <row r="173">
      <c r="A173" s="198"/>
      <c r="B173" s="121"/>
      <c r="C173" s="205" t="str">
        <f>'Daily Tracker'!D275</f>
        <v/>
      </c>
      <c r="D173" s="121"/>
      <c r="E173" s="200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7"/>
      <c r="Y173" s="197"/>
      <c r="Z173" s="194"/>
    </row>
    <row r="174">
      <c r="A174" s="198"/>
      <c r="B174" s="121"/>
      <c r="C174" s="205" t="str">
        <f>'Daily Tracker'!D276</f>
        <v/>
      </c>
      <c r="D174" s="121"/>
      <c r="E174" s="200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7"/>
      <c r="Y174" s="197"/>
      <c r="Z174" s="194"/>
    </row>
    <row r="175">
      <c r="A175" s="198"/>
      <c r="B175" s="121"/>
      <c r="C175" s="205" t="str">
        <f>'Daily Tracker'!D277</f>
        <v/>
      </c>
      <c r="D175" s="121"/>
      <c r="E175" s="200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7"/>
      <c r="Y175" s="197"/>
      <c r="Z175" s="194"/>
    </row>
    <row r="176">
      <c r="A176" s="198"/>
      <c r="B176" s="121"/>
      <c r="C176" s="205" t="str">
        <f>'Daily Tracker'!D278</f>
        <v/>
      </c>
      <c r="D176" s="121"/>
      <c r="E176" s="200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7"/>
      <c r="Y176" s="197"/>
      <c r="Z176" s="194"/>
    </row>
    <row r="177">
      <c r="A177" s="198"/>
      <c r="B177" s="138"/>
      <c r="C177" s="206" t="str">
        <f>'Daily Tracker'!D279</f>
        <v/>
      </c>
      <c r="D177" s="138"/>
      <c r="E177" s="200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7"/>
      <c r="Y177" s="197"/>
      <c r="Z177" s="194"/>
    </row>
    <row r="178">
      <c r="A178" s="198"/>
      <c r="B178" s="202">
        <f>B171+1</f>
        <v>26</v>
      </c>
      <c r="C178" s="203" t="str">
        <f>'Daily Tracker'!D284</f>
        <v/>
      </c>
      <c r="D178" s="204" t="str">
        <f>IFERROR(ROUND(AVERAGE(C178:C184),1),NA())</f>
        <v>#N/A</v>
      </c>
      <c r="E178" s="200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7"/>
      <c r="Y178" s="197"/>
      <c r="Z178" s="194"/>
    </row>
    <row r="179">
      <c r="A179" s="198"/>
      <c r="B179" s="121"/>
      <c r="C179" s="205" t="str">
        <f>'Daily Tracker'!D285</f>
        <v/>
      </c>
      <c r="D179" s="121"/>
      <c r="E179" s="200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7"/>
      <c r="Y179" s="197"/>
      <c r="Z179" s="194"/>
    </row>
    <row r="180">
      <c r="A180" s="198"/>
      <c r="B180" s="121"/>
      <c r="C180" s="205" t="str">
        <f>'Daily Tracker'!D286</f>
        <v/>
      </c>
      <c r="D180" s="121"/>
      <c r="E180" s="200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7"/>
      <c r="Y180" s="197"/>
      <c r="Z180" s="194"/>
    </row>
    <row r="181">
      <c r="A181" s="198"/>
      <c r="B181" s="121"/>
      <c r="C181" s="205" t="str">
        <f>'Daily Tracker'!D287</f>
        <v/>
      </c>
      <c r="D181" s="121"/>
      <c r="E181" s="200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7"/>
      <c r="Y181" s="197"/>
      <c r="Z181" s="194"/>
    </row>
    <row r="182">
      <c r="A182" s="198"/>
      <c r="B182" s="121"/>
      <c r="C182" s="205" t="str">
        <f>'Daily Tracker'!D288</f>
        <v/>
      </c>
      <c r="D182" s="121"/>
      <c r="E182" s="200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7"/>
      <c r="Y182" s="197"/>
      <c r="Z182" s="194"/>
    </row>
    <row r="183">
      <c r="A183" s="198"/>
      <c r="B183" s="121"/>
      <c r="C183" s="205" t="str">
        <f>'Daily Tracker'!D289</f>
        <v/>
      </c>
      <c r="D183" s="121"/>
      <c r="E183" s="200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7"/>
      <c r="Y183" s="197"/>
      <c r="Z183" s="194"/>
    </row>
    <row r="184">
      <c r="A184" s="198"/>
      <c r="B184" s="138"/>
      <c r="C184" s="206" t="str">
        <f>'Daily Tracker'!D290</f>
        <v/>
      </c>
      <c r="D184" s="138"/>
      <c r="E184" s="200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7"/>
      <c r="Y184" s="197"/>
      <c r="Z184" s="194"/>
    </row>
    <row r="185">
      <c r="A185" s="198"/>
      <c r="B185" s="202">
        <f>B178+1</f>
        <v>27</v>
      </c>
      <c r="C185" s="203" t="str">
        <f>'Daily Tracker'!D295</f>
        <v/>
      </c>
      <c r="D185" s="204" t="str">
        <f>IFERROR(ROUND(AVERAGE(C185:C191),1),NA())</f>
        <v>#N/A</v>
      </c>
      <c r="E185" s="200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7"/>
      <c r="Y185" s="197"/>
      <c r="Z185" s="194"/>
    </row>
    <row r="186">
      <c r="A186" s="198"/>
      <c r="B186" s="121"/>
      <c r="C186" s="205" t="str">
        <f>'Daily Tracker'!D296</f>
        <v/>
      </c>
      <c r="D186" s="121"/>
      <c r="E186" s="200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7"/>
      <c r="Y186" s="197"/>
      <c r="Z186" s="194"/>
    </row>
    <row r="187">
      <c r="A187" s="198"/>
      <c r="B187" s="121"/>
      <c r="C187" s="205" t="str">
        <f>'Daily Tracker'!D297</f>
        <v/>
      </c>
      <c r="D187" s="121"/>
      <c r="E187" s="200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7"/>
      <c r="Y187" s="197"/>
      <c r="Z187" s="194"/>
    </row>
    <row r="188">
      <c r="A188" s="198"/>
      <c r="B188" s="121"/>
      <c r="C188" s="205" t="str">
        <f>'Daily Tracker'!D298</f>
        <v/>
      </c>
      <c r="D188" s="121"/>
      <c r="E188" s="200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7"/>
      <c r="Y188" s="197"/>
      <c r="Z188" s="194"/>
    </row>
    <row r="189">
      <c r="A189" s="198"/>
      <c r="B189" s="121"/>
      <c r="C189" s="205" t="str">
        <f>'Daily Tracker'!D299</f>
        <v/>
      </c>
      <c r="D189" s="121"/>
      <c r="E189" s="200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7"/>
      <c r="Y189" s="197"/>
      <c r="Z189" s="194"/>
    </row>
    <row r="190">
      <c r="A190" s="198"/>
      <c r="B190" s="121"/>
      <c r="C190" s="205" t="str">
        <f>'Daily Tracker'!D300</f>
        <v/>
      </c>
      <c r="D190" s="121"/>
      <c r="E190" s="200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7"/>
      <c r="Y190" s="197"/>
      <c r="Z190" s="194"/>
    </row>
    <row r="191">
      <c r="A191" s="198"/>
      <c r="B191" s="138"/>
      <c r="C191" s="206" t="str">
        <f>'Daily Tracker'!D301</f>
        <v/>
      </c>
      <c r="D191" s="138"/>
      <c r="E191" s="200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7"/>
      <c r="Y191" s="197"/>
      <c r="Z191" s="194"/>
    </row>
    <row r="192">
      <c r="A192" s="198"/>
      <c r="B192" s="202">
        <f>B185+1</f>
        <v>28</v>
      </c>
      <c r="C192" s="203" t="str">
        <f>'Daily Tracker'!D306</f>
        <v/>
      </c>
      <c r="D192" s="204" t="str">
        <f>IFERROR(ROUND(AVERAGE(C192:C198),1),NA())</f>
        <v>#N/A</v>
      </c>
      <c r="E192" s="200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7"/>
      <c r="Y192" s="197"/>
      <c r="Z192" s="194"/>
    </row>
    <row r="193">
      <c r="A193" s="198"/>
      <c r="B193" s="121"/>
      <c r="C193" s="205" t="str">
        <f>'Daily Tracker'!D307</f>
        <v/>
      </c>
      <c r="D193" s="121"/>
      <c r="E193" s="200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7"/>
      <c r="Y193" s="197"/>
      <c r="Z193" s="194"/>
    </row>
    <row r="194">
      <c r="A194" s="198"/>
      <c r="B194" s="121"/>
      <c r="C194" s="205" t="str">
        <f>'Daily Tracker'!D308</f>
        <v/>
      </c>
      <c r="D194" s="121"/>
      <c r="E194" s="200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7"/>
      <c r="Y194" s="197"/>
      <c r="Z194" s="194"/>
    </row>
    <row r="195">
      <c r="A195" s="198"/>
      <c r="B195" s="121"/>
      <c r="C195" s="205" t="str">
        <f>'Daily Tracker'!D309</f>
        <v/>
      </c>
      <c r="D195" s="121"/>
      <c r="E195" s="200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7"/>
      <c r="Y195" s="197"/>
      <c r="Z195" s="194"/>
    </row>
    <row r="196">
      <c r="A196" s="198"/>
      <c r="B196" s="121"/>
      <c r="C196" s="205" t="str">
        <f>'Daily Tracker'!D310</f>
        <v/>
      </c>
      <c r="D196" s="121"/>
      <c r="E196" s="200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7"/>
      <c r="Y196" s="197"/>
      <c r="Z196" s="194"/>
    </row>
    <row r="197">
      <c r="A197" s="198"/>
      <c r="B197" s="121"/>
      <c r="C197" s="205" t="str">
        <f>'Daily Tracker'!D311</f>
        <v/>
      </c>
      <c r="D197" s="121"/>
      <c r="E197" s="200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7"/>
      <c r="Y197" s="197"/>
      <c r="Z197" s="194"/>
    </row>
    <row r="198">
      <c r="A198" s="198"/>
      <c r="B198" s="138"/>
      <c r="C198" s="206" t="str">
        <f>'Daily Tracker'!D312</f>
        <v/>
      </c>
      <c r="D198" s="138"/>
      <c r="E198" s="200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7"/>
      <c r="Y198" s="197"/>
      <c r="Z198" s="194"/>
    </row>
    <row r="199">
      <c r="A199" s="198"/>
      <c r="B199" s="202">
        <f>B192+1</f>
        <v>29</v>
      </c>
      <c r="C199" s="203" t="str">
        <f>'Daily Tracker'!D317</f>
        <v/>
      </c>
      <c r="D199" s="204" t="str">
        <f>IFERROR(ROUND(AVERAGE(C199:C205),1),NA())</f>
        <v>#N/A</v>
      </c>
      <c r="E199" s="200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7"/>
      <c r="Y199" s="197"/>
      <c r="Z199" s="194"/>
    </row>
    <row r="200">
      <c r="A200" s="198"/>
      <c r="B200" s="121"/>
      <c r="C200" s="205" t="str">
        <f>'Daily Tracker'!D318</f>
        <v/>
      </c>
      <c r="D200" s="121"/>
      <c r="E200" s="200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7"/>
      <c r="Y200" s="197"/>
      <c r="Z200" s="194"/>
    </row>
    <row r="201">
      <c r="A201" s="198"/>
      <c r="B201" s="121"/>
      <c r="C201" s="205" t="str">
        <f>'Daily Tracker'!D319</f>
        <v/>
      </c>
      <c r="D201" s="121"/>
      <c r="E201" s="200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7"/>
      <c r="Y201" s="197"/>
      <c r="Z201" s="194"/>
    </row>
    <row r="202">
      <c r="A202" s="198"/>
      <c r="B202" s="121"/>
      <c r="C202" s="205" t="str">
        <f>'Daily Tracker'!D320</f>
        <v/>
      </c>
      <c r="D202" s="121"/>
      <c r="E202" s="200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7"/>
      <c r="Y202" s="197"/>
      <c r="Z202" s="194"/>
    </row>
    <row r="203">
      <c r="A203" s="198"/>
      <c r="B203" s="121"/>
      <c r="C203" s="205" t="str">
        <f>'Daily Tracker'!D321</f>
        <v/>
      </c>
      <c r="D203" s="121"/>
      <c r="E203" s="200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7"/>
      <c r="Y203" s="197"/>
      <c r="Z203" s="194"/>
    </row>
    <row r="204">
      <c r="A204" s="198"/>
      <c r="B204" s="121"/>
      <c r="C204" s="205" t="str">
        <f>'Daily Tracker'!D322</f>
        <v/>
      </c>
      <c r="D204" s="121"/>
      <c r="E204" s="200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7"/>
      <c r="Y204" s="197"/>
      <c r="Z204" s="194"/>
    </row>
    <row r="205">
      <c r="A205" s="198"/>
      <c r="B205" s="138"/>
      <c r="C205" s="206" t="str">
        <f>'Daily Tracker'!D323</f>
        <v/>
      </c>
      <c r="D205" s="138"/>
      <c r="E205" s="200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7"/>
      <c r="Y205" s="197"/>
      <c r="Z205" s="194"/>
    </row>
    <row r="206">
      <c r="A206" s="198"/>
      <c r="B206" s="202">
        <f>B199+1</f>
        <v>30</v>
      </c>
      <c r="C206" s="203" t="str">
        <f>'Daily Tracker'!D328</f>
        <v/>
      </c>
      <c r="D206" s="204" t="str">
        <f>IFERROR(ROUND(AVERAGE(C206:C212),1),NA())</f>
        <v>#N/A</v>
      </c>
      <c r="E206" s="200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7"/>
      <c r="Y206" s="197"/>
      <c r="Z206" s="194"/>
    </row>
    <row r="207">
      <c r="A207" s="198"/>
      <c r="B207" s="121"/>
      <c r="C207" s="205" t="str">
        <f>'Daily Tracker'!D329</f>
        <v/>
      </c>
      <c r="D207" s="121"/>
      <c r="E207" s="200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7"/>
      <c r="Y207" s="197"/>
      <c r="Z207" s="194"/>
    </row>
    <row r="208">
      <c r="A208" s="198"/>
      <c r="B208" s="121"/>
      <c r="C208" s="205" t="str">
        <f>'Daily Tracker'!D330</f>
        <v/>
      </c>
      <c r="D208" s="121"/>
      <c r="E208" s="200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7"/>
      <c r="Y208" s="197"/>
      <c r="Z208" s="194"/>
    </row>
    <row r="209">
      <c r="A209" s="198"/>
      <c r="B209" s="121"/>
      <c r="C209" s="205" t="str">
        <f>'Daily Tracker'!D331</f>
        <v/>
      </c>
      <c r="D209" s="121"/>
      <c r="E209" s="200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7"/>
      <c r="Y209" s="197"/>
      <c r="Z209" s="194"/>
    </row>
    <row r="210">
      <c r="A210" s="198"/>
      <c r="B210" s="121"/>
      <c r="C210" s="205" t="str">
        <f>'Daily Tracker'!D332</f>
        <v/>
      </c>
      <c r="D210" s="121"/>
      <c r="E210" s="200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7"/>
      <c r="Y210" s="197"/>
      <c r="Z210" s="194"/>
    </row>
    <row r="211">
      <c r="A211" s="198"/>
      <c r="B211" s="121"/>
      <c r="C211" s="205" t="str">
        <f>'Daily Tracker'!D333</f>
        <v/>
      </c>
      <c r="D211" s="121"/>
      <c r="E211" s="200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7"/>
      <c r="Y211" s="197"/>
      <c r="Z211" s="194"/>
    </row>
    <row r="212">
      <c r="A212" s="198"/>
      <c r="B212" s="138"/>
      <c r="C212" s="206" t="str">
        <f>'Daily Tracker'!D334</f>
        <v/>
      </c>
      <c r="D212" s="138"/>
      <c r="E212" s="200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7"/>
      <c r="Y212" s="197"/>
      <c r="Z212" s="194"/>
    </row>
    <row r="213">
      <c r="A213" s="198"/>
      <c r="B213" s="202">
        <f>B206+1</f>
        <v>31</v>
      </c>
      <c r="C213" s="203" t="str">
        <f>'Daily Tracker'!D339</f>
        <v/>
      </c>
      <c r="D213" s="204" t="str">
        <f>IFERROR(ROUND(AVERAGE(C213:C219),1),NA())</f>
        <v>#N/A</v>
      </c>
      <c r="E213" s="200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7"/>
      <c r="Y213" s="197"/>
      <c r="Z213" s="194"/>
    </row>
    <row r="214">
      <c r="A214" s="198"/>
      <c r="B214" s="121"/>
      <c r="C214" s="205" t="str">
        <f>'Daily Tracker'!D340</f>
        <v/>
      </c>
      <c r="D214" s="121"/>
      <c r="E214" s="200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7"/>
      <c r="Y214" s="197"/>
      <c r="Z214" s="194"/>
    </row>
    <row r="215">
      <c r="A215" s="198"/>
      <c r="B215" s="121"/>
      <c r="C215" s="205" t="str">
        <f>'Daily Tracker'!D341</f>
        <v/>
      </c>
      <c r="D215" s="121"/>
      <c r="E215" s="200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7"/>
      <c r="Y215" s="197"/>
      <c r="Z215" s="194"/>
    </row>
    <row r="216">
      <c r="A216" s="198"/>
      <c r="B216" s="121"/>
      <c r="C216" s="205" t="str">
        <f>'Daily Tracker'!D342</f>
        <v/>
      </c>
      <c r="D216" s="121"/>
      <c r="E216" s="200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7"/>
      <c r="Y216" s="197"/>
      <c r="Z216" s="194"/>
    </row>
    <row r="217">
      <c r="A217" s="198"/>
      <c r="B217" s="121"/>
      <c r="C217" s="205" t="str">
        <f>'Daily Tracker'!D343</f>
        <v/>
      </c>
      <c r="D217" s="121"/>
      <c r="E217" s="200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7"/>
      <c r="Y217" s="197"/>
      <c r="Z217" s="194"/>
    </row>
    <row r="218">
      <c r="A218" s="198"/>
      <c r="B218" s="121"/>
      <c r="C218" s="205" t="str">
        <f>'Daily Tracker'!D344</f>
        <v/>
      </c>
      <c r="D218" s="121"/>
      <c r="E218" s="200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7"/>
      <c r="Y218" s="197"/>
      <c r="Z218" s="194"/>
    </row>
    <row r="219">
      <c r="A219" s="198"/>
      <c r="B219" s="138"/>
      <c r="C219" s="206" t="str">
        <f>'Daily Tracker'!D345</f>
        <v/>
      </c>
      <c r="D219" s="138"/>
      <c r="E219" s="200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7"/>
      <c r="Y219" s="197"/>
      <c r="Z219" s="194"/>
    </row>
    <row r="220">
      <c r="A220" s="198"/>
      <c r="B220" s="202">
        <f>B213+1</f>
        <v>32</v>
      </c>
      <c r="C220" s="203" t="str">
        <f>'Daily Tracker'!D350</f>
        <v/>
      </c>
      <c r="D220" s="204" t="str">
        <f>IFERROR(ROUND(AVERAGE(C220:C226),1),NA())</f>
        <v>#N/A</v>
      </c>
      <c r="E220" s="200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7"/>
      <c r="Y220" s="197"/>
      <c r="Z220" s="194"/>
    </row>
    <row r="221">
      <c r="A221" s="198"/>
      <c r="B221" s="121"/>
      <c r="C221" s="205" t="str">
        <f>'Daily Tracker'!D351</f>
        <v/>
      </c>
      <c r="D221" s="121"/>
      <c r="E221" s="200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7"/>
      <c r="Y221" s="197"/>
      <c r="Z221" s="194"/>
    </row>
    <row r="222">
      <c r="A222" s="198"/>
      <c r="B222" s="121"/>
      <c r="C222" s="205" t="str">
        <f>'Daily Tracker'!D352</f>
        <v/>
      </c>
      <c r="D222" s="121"/>
      <c r="E222" s="200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7"/>
      <c r="Y222" s="197"/>
      <c r="Z222" s="194"/>
    </row>
    <row r="223">
      <c r="A223" s="198"/>
      <c r="B223" s="121"/>
      <c r="C223" s="205" t="str">
        <f>'Daily Tracker'!D353</f>
        <v/>
      </c>
      <c r="D223" s="121"/>
      <c r="E223" s="200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7"/>
      <c r="Y223" s="197"/>
      <c r="Z223" s="194"/>
    </row>
    <row r="224">
      <c r="A224" s="198"/>
      <c r="B224" s="121"/>
      <c r="C224" s="205" t="str">
        <f>'Daily Tracker'!D354</f>
        <v/>
      </c>
      <c r="D224" s="121"/>
      <c r="E224" s="200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7"/>
      <c r="Y224" s="197"/>
      <c r="Z224" s="194"/>
    </row>
    <row r="225">
      <c r="A225" s="198"/>
      <c r="B225" s="121"/>
      <c r="C225" s="205" t="str">
        <f>'Daily Tracker'!D355</f>
        <v/>
      </c>
      <c r="D225" s="121"/>
      <c r="E225" s="200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7"/>
      <c r="Y225" s="197"/>
      <c r="Z225" s="194"/>
    </row>
    <row r="226">
      <c r="A226" s="198"/>
      <c r="B226" s="138"/>
      <c r="C226" s="206" t="str">
        <f>'Daily Tracker'!D356</f>
        <v/>
      </c>
      <c r="D226" s="138"/>
      <c r="E226" s="200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7"/>
      <c r="Y226" s="197"/>
      <c r="Z226" s="194"/>
    </row>
    <row r="227">
      <c r="A227" s="198"/>
      <c r="B227" s="202">
        <f>B220+1</f>
        <v>33</v>
      </c>
      <c r="C227" s="203" t="str">
        <f>'Daily Tracker'!D361</f>
        <v/>
      </c>
      <c r="D227" s="204" t="str">
        <f>IFERROR(ROUND(AVERAGE(C227:C233),1),NA())</f>
        <v>#N/A</v>
      </c>
      <c r="E227" s="200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7"/>
      <c r="Y227" s="197"/>
      <c r="Z227" s="194"/>
    </row>
    <row r="228">
      <c r="A228" s="198"/>
      <c r="B228" s="121"/>
      <c r="C228" s="205" t="str">
        <f>'Daily Tracker'!D362</f>
        <v/>
      </c>
      <c r="D228" s="121"/>
      <c r="E228" s="200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7"/>
      <c r="Y228" s="197"/>
      <c r="Z228" s="194"/>
    </row>
    <row r="229">
      <c r="A229" s="198"/>
      <c r="B229" s="121"/>
      <c r="C229" s="205" t="str">
        <f>'Daily Tracker'!D363</f>
        <v/>
      </c>
      <c r="D229" s="121"/>
      <c r="E229" s="200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7"/>
      <c r="Y229" s="197"/>
      <c r="Z229" s="194"/>
    </row>
    <row r="230">
      <c r="A230" s="198"/>
      <c r="B230" s="121"/>
      <c r="C230" s="205" t="str">
        <f>'Daily Tracker'!D364</f>
        <v/>
      </c>
      <c r="D230" s="121"/>
      <c r="E230" s="200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7"/>
      <c r="Y230" s="197"/>
      <c r="Z230" s="194"/>
    </row>
    <row r="231">
      <c r="A231" s="198"/>
      <c r="B231" s="121"/>
      <c r="C231" s="205" t="str">
        <f>'Daily Tracker'!D365</f>
        <v/>
      </c>
      <c r="D231" s="121"/>
      <c r="E231" s="200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7"/>
      <c r="Y231" s="197"/>
      <c r="Z231" s="194"/>
    </row>
    <row r="232">
      <c r="A232" s="198"/>
      <c r="B232" s="121"/>
      <c r="C232" s="205" t="str">
        <f>'Daily Tracker'!D366</f>
        <v/>
      </c>
      <c r="D232" s="121"/>
      <c r="E232" s="200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7"/>
      <c r="Y232" s="197"/>
      <c r="Z232" s="194"/>
    </row>
    <row r="233">
      <c r="A233" s="198"/>
      <c r="B233" s="138"/>
      <c r="C233" s="206" t="str">
        <f>'Daily Tracker'!D367</f>
        <v/>
      </c>
      <c r="D233" s="138"/>
      <c r="E233" s="200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7"/>
      <c r="Y233" s="197"/>
      <c r="Z233" s="194"/>
    </row>
    <row r="234">
      <c r="A234" s="198"/>
      <c r="B234" s="202">
        <f>B227+1</f>
        <v>34</v>
      </c>
      <c r="C234" s="203" t="str">
        <f>'Daily Tracker'!D372</f>
        <v/>
      </c>
      <c r="D234" s="204" t="str">
        <f>IFERROR(ROUND(AVERAGE(C234:C240),1),NA())</f>
        <v>#N/A</v>
      </c>
      <c r="E234" s="200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7"/>
      <c r="Y234" s="197"/>
      <c r="Z234" s="194"/>
    </row>
    <row r="235">
      <c r="A235" s="198"/>
      <c r="B235" s="121"/>
      <c r="C235" s="205" t="str">
        <f>'Daily Tracker'!D373</f>
        <v/>
      </c>
      <c r="D235" s="121"/>
      <c r="E235" s="200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7"/>
      <c r="Y235" s="197"/>
      <c r="Z235" s="194"/>
    </row>
    <row r="236">
      <c r="A236" s="198"/>
      <c r="B236" s="121"/>
      <c r="C236" s="205" t="str">
        <f>'Daily Tracker'!D374</f>
        <v/>
      </c>
      <c r="D236" s="121"/>
      <c r="E236" s="200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7"/>
      <c r="Y236" s="197"/>
      <c r="Z236" s="194"/>
    </row>
    <row r="237">
      <c r="A237" s="198"/>
      <c r="B237" s="121"/>
      <c r="C237" s="205" t="str">
        <f>'Daily Tracker'!D375</f>
        <v/>
      </c>
      <c r="D237" s="121"/>
      <c r="E237" s="200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7"/>
      <c r="Y237" s="197"/>
      <c r="Z237" s="194"/>
    </row>
    <row r="238">
      <c r="A238" s="198"/>
      <c r="B238" s="121"/>
      <c r="C238" s="205" t="str">
        <f>'Daily Tracker'!D376</f>
        <v/>
      </c>
      <c r="D238" s="121"/>
      <c r="E238" s="200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7"/>
      <c r="Y238" s="197"/>
      <c r="Z238" s="194"/>
    </row>
    <row r="239">
      <c r="A239" s="198"/>
      <c r="B239" s="121"/>
      <c r="C239" s="205" t="str">
        <f>'Daily Tracker'!D377</f>
        <v/>
      </c>
      <c r="D239" s="121"/>
      <c r="E239" s="200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7"/>
      <c r="Y239" s="197"/>
      <c r="Z239" s="194"/>
    </row>
    <row r="240">
      <c r="A240" s="198"/>
      <c r="B240" s="138"/>
      <c r="C240" s="206" t="str">
        <f>'Daily Tracker'!D378</f>
        <v/>
      </c>
      <c r="D240" s="138"/>
      <c r="E240" s="200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7"/>
      <c r="Y240" s="197"/>
      <c r="Z240" s="194"/>
    </row>
    <row r="241">
      <c r="A241" s="198"/>
      <c r="B241" s="202">
        <f>B234+1</f>
        <v>35</v>
      </c>
      <c r="C241" s="203" t="str">
        <f>'Daily Tracker'!D383</f>
        <v/>
      </c>
      <c r="D241" s="204" t="str">
        <f>IFERROR(ROUND(AVERAGE(C241:C247),1),NA())</f>
        <v>#N/A</v>
      </c>
      <c r="E241" s="200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7"/>
      <c r="Y241" s="197"/>
      <c r="Z241" s="194"/>
    </row>
    <row r="242">
      <c r="A242" s="198"/>
      <c r="B242" s="121"/>
      <c r="C242" s="205" t="str">
        <f>'Daily Tracker'!D384</f>
        <v/>
      </c>
      <c r="D242" s="121"/>
      <c r="E242" s="200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7"/>
      <c r="Y242" s="197"/>
      <c r="Z242" s="194"/>
    </row>
    <row r="243">
      <c r="A243" s="198"/>
      <c r="B243" s="121"/>
      <c r="C243" s="205" t="str">
        <f>'Daily Tracker'!D385</f>
        <v/>
      </c>
      <c r="D243" s="121"/>
      <c r="E243" s="200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7"/>
      <c r="Y243" s="197"/>
      <c r="Z243" s="194"/>
    </row>
    <row r="244">
      <c r="A244" s="198"/>
      <c r="B244" s="121"/>
      <c r="C244" s="205" t="str">
        <f>'Daily Tracker'!D386</f>
        <v/>
      </c>
      <c r="D244" s="121"/>
      <c r="E244" s="200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7"/>
      <c r="Y244" s="197"/>
      <c r="Z244" s="194"/>
    </row>
    <row r="245">
      <c r="A245" s="198"/>
      <c r="B245" s="121"/>
      <c r="C245" s="205" t="str">
        <f>'Daily Tracker'!D387</f>
        <v/>
      </c>
      <c r="D245" s="121"/>
      <c r="E245" s="200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7"/>
      <c r="Y245" s="197"/>
      <c r="Z245" s="194"/>
    </row>
    <row r="246">
      <c r="A246" s="198"/>
      <c r="B246" s="121"/>
      <c r="C246" s="205" t="str">
        <f>'Daily Tracker'!D388</f>
        <v/>
      </c>
      <c r="D246" s="121"/>
      <c r="E246" s="200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7"/>
      <c r="Y246" s="197"/>
      <c r="Z246" s="194"/>
    </row>
    <row r="247">
      <c r="A247" s="198"/>
      <c r="B247" s="138"/>
      <c r="C247" s="206" t="str">
        <f>'Daily Tracker'!D389</f>
        <v/>
      </c>
      <c r="D247" s="138"/>
      <c r="E247" s="200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7"/>
      <c r="Y247" s="197"/>
      <c r="Z247" s="194"/>
    </row>
    <row r="248">
      <c r="A248" s="198"/>
      <c r="B248" s="202">
        <f>B241+1</f>
        <v>36</v>
      </c>
      <c r="C248" s="203" t="str">
        <f>'Daily Tracker'!D394</f>
        <v/>
      </c>
      <c r="D248" s="204" t="str">
        <f>IFERROR(ROUND(AVERAGE(C248:C254),1),NA())</f>
        <v>#N/A</v>
      </c>
      <c r="E248" s="200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7"/>
      <c r="Y248" s="197"/>
      <c r="Z248" s="194"/>
    </row>
    <row r="249">
      <c r="A249" s="198"/>
      <c r="B249" s="121"/>
      <c r="C249" s="205" t="str">
        <f>'Daily Tracker'!D395</f>
        <v/>
      </c>
      <c r="D249" s="121"/>
      <c r="E249" s="200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7"/>
      <c r="Y249" s="197"/>
      <c r="Z249" s="194"/>
    </row>
    <row r="250">
      <c r="A250" s="198"/>
      <c r="B250" s="121"/>
      <c r="C250" s="205" t="str">
        <f>'Daily Tracker'!D396</f>
        <v/>
      </c>
      <c r="D250" s="121"/>
      <c r="E250" s="200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7"/>
      <c r="Y250" s="197"/>
      <c r="Z250" s="194"/>
    </row>
    <row r="251">
      <c r="A251" s="198"/>
      <c r="B251" s="121"/>
      <c r="C251" s="205" t="str">
        <f>'Daily Tracker'!D397</f>
        <v/>
      </c>
      <c r="D251" s="121"/>
      <c r="E251" s="200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7"/>
      <c r="Y251" s="197"/>
      <c r="Z251" s="194"/>
    </row>
    <row r="252">
      <c r="A252" s="198"/>
      <c r="B252" s="121"/>
      <c r="C252" s="205" t="str">
        <f>'Daily Tracker'!D398</f>
        <v/>
      </c>
      <c r="D252" s="121"/>
      <c r="E252" s="200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7"/>
      <c r="Y252" s="197"/>
      <c r="Z252" s="194"/>
    </row>
    <row r="253">
      <c r="A253" s="198"/>
      <c r="B253" s="121"/>
      <c r="C253" s="205" t="str">
        <f>'Daily Tracker'!D399</f>
        <v/>
      </c>
      <c r="D253" s="121"/>
      <c r="E253" s="200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7"/>
      <c r="Y253" s="197"/>
      <c r="Z253" s="194"/>
    </row>
    <row r="254">
      <c r="A254" s="198"/>
      <c r="B254" s="138"/>
      <c r="C254" s="206" t="str">
        <f>'Daily Tracker'!D400</f>
        <v/>
      </c>
      <c r="D254" s="138"/>
      <c r="E254" s="200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7"/>
      <c r="Y254" s="197"/>
      <c r="Z254" s="194"/>
    </row>
    <row r="255">
      <c r="A255" s="198"/>
      <c r="B255" s="202">
        <f>B248+1</f>
        <v>37</v>
      </c>
      <c r="C255" s="203" t="str">
        <f>'Daily Tracker'!D405</f>
        <v/>
      </c>
      <c r="D255" s="204" t="str">
        <f>IFERROR(ROUND(AVERAGE(C255:C261),1),NA())</f>
        <v>#N/A</v>
      </c>
      <c r="E255" s="200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7"/>
      <c r="Y255" s="197"/>
      <c r="Z255" s="194"/>
    </row>
    <row r="256">
      <c r="A256" s="198"/>
      <c r="B256" s="121"/>
      <c r="C256" s="205" t="str">
        <f>'Daily Tracker'!D406</f>
        <v/>
      </c>
      <c r="D256" s="121"/>
      <c r="E256" s="200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7"/>
      <c r="Y256" s="197"/>
      <c r="Z256" s="194"/>
    </row>
    <row r="257">
      <c r="A257" s="198"/>
      <c r="B257" s="121"/>
      <c r="C257" s="205" t="str">
        <f>'Daily Tracker'!D407</f>
        <v/>
      </c>
      <c r="D257" s="121"/>
      <c r="E257" s="200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7"/>
      <c r="Y257" s="197"/>
      <c r="Z257" s="194"/>
    </row>
    <row r="258">
      <c r="A258" s="198"/>
      <c r="B258" s="121"/>
      <c r="C258" s="205" t="str">
        <f>'Daily Tracker'!D408</f>
        <v/>
      </c>
      <c r="D258" s="121"/>
      <c r="E258" s="200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7"/>
      <c r="Y258" s="197"/>
      <c r="Z258" s="194"/>
    </row>
    <row r="259">
      <c r="A259" s="198"/>
      <c r="B259" s="121"/>
      <c r="C259" s="205" t="str">
        <f>'Daily Tracker'!D409</f>
        <v/>
      </c>
      <c r="D259" s="121"/>
      <c r="E259" s="200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7"/>
      <c r="Y259" s="197"/>
      <c r="Z259" s="194"/>
    </row>
    <row r="260">
      <c r="A260" s="198"/>
      <c r="B260" s="121"/>
      <c r="C260" s="205" t="str">
        <f>'Daily Tracker'!D410</f>
        <v/>
      </c>
      <c r="D260" s="121"/>
      <c r="E260" s="200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7"/>
      <c r="Y260" s="197"/>
      <c r="Z260" s="194"/>
    </row>
    <row r="261">
      <c r="A261" s="198"/>
      <c r="B261" s="138"/>
      <c r="C261" s="206" t="str">
        <f>'Daily Tracker'!D411</f>
        <v/>
      </c>
      <c r="D261" s="138"/>
      <c r="E261" s="200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7"/>
      <c r="Y261" s="197"/>
      <c r="Z261" s="194"/>
    </row>
    <row r="262">
      <c r="A262" s="198"/>
      <c r="B262" s="202">
        <f>B255+1</f>
        <v>38</v>
      </c>
      <c r="C262" s="203" t="str">
        <f>'Daily Tracker'!D416</f>
        <v/>
      </c>
      <c r="D262" s="204" t="str">
        <f>IFERROR(ROUND(AVERAGE(C262:C268),1),NA())</f>
        <v>#N/A</v>
      </c>
      <c r="E262" s="200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7"/>
      <c r="Y262" s="197"/>
      <c r="Z262" s="194"/>
    </row>
    <row r="263">
      <c r="A263" s="198"/>
      <c r="B263" s="121"/>
      <c r="C263" s="205" t="str">
        <f>'Daily Tracker'!D417</f>
        <v/>
      </c>
      <c r="D263" s="121"/>
      <c r="E263" s="200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7"/>
      <c r="Y263" s="197"/>
      <c r="Z263" s="194"/>
    </row>
    <row r="264">
      <c r="A264" s="198"/>
      <c r="B264" s="121"/>
      <c r="C264" s="205" t="str">
        <f>'Daily Tracker'!D418</f>
        <v/>
      </c>
      <c r="D264" s="121"/>
      <c r="E264" s="200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7"/>
      <c r="Y264" s="197"/>
      <c r="Z264" s="194"/>
    </row>
    <row r="265">
      <c r="A265" s="198"/>
      <c r="B265" s="121"/>
      <c r="C265" s="205" t="str">
        <f>'Daily Tracker'!D419</f>
        <v/>
      </c>
      <c r="D265" s="121"/>
      <c r="E265" s="200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7"/>
      <c r="Y265" s="197"/>
      <c r="Z265" s="194"/>
    </row>
    <row r="266">
      <c r="A266" s="198"/>
      <c r="B266" s="121"/>
      <c r="C266" s="205" t="str">
        <f>'Daily Tracker'!D420</f>
        <v/>
      </c>
      <c r="D266" s="121"/>
      <c r="E266" s="200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7"/>
      <c r="Y266" s="197"/>
      <c r="Z266" s="194"/>
    </row>
    <row r="267">
      <c r="A267" s="198"/>
      <c r="B267" s="121"/>
      <c r="C267" s="205" t="str">
        <f>'Daily Tracker'!D421</f>
        <v/>
      </c>
      <c r="D267" s="121"/>
      <c r="E267" s="200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7"/>
      <c r="Y267" s="197"/>
      <c r="Z267" s="194"/>
    </row>
    <row r="268">
      <c r="A268" s="198"/>
      <c r="B268" s="138"/>
      <c r="C268" s="206" t="str">
        <f>'Daily Tracker'!D422</f>
        <v/>
      </c>
      <c r="D268" s="138"/>
      <c r="E268" s="200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7"/>
      <c r="Y268" s="197"/>
      <c r="Z268" s="194"/>
    </row>
    <row r="269">
      <c r="A269" s="198"/>
      <c r="B269" s="202">
        <f>B262+1</f>
        <v>39</v>
      </c>
      <c r="C269" s="203" t="str">
        <f>'Daily Tracker'!D427</f>
        <v/>
      </c>
      <c r="D269" s="204" t="str">
        <f>IFERROR(ROUND(AVERAGE(C269:C275),1),NA())</f>
        <v>#N/A</v>
      </c>
      <c r="E269" s="200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7"/>
      <c r="Y269" s="197"/>
      <c r="Z269" s="194"/>
    </row>
    <row r="270">
      <c r="A270" s="198"/>
      <c r="B270" s="121"/>
      <c r="C270" s="205" t="str">
        <f>'Daily Tracker'!D428</f>
        <v/>
      </c>
      <c r="D270" s="121"/>
      <c r="E270" s="200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7"/>
      <c r="Y270" s="197"/>
      <c r="Z270" s="194"/>
    </row>
    <row r="271">
      <c r="A271" s="198"/>
      <c r="B271" s="121"/>
      <c r="C271" s="205" t="str">
        <f>'Daily Tracker'!D429</f>
        <v/>
      </c>
      <c r="D271" s="121"/>
      <c r="E271" s="200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7"/>
      <c r="Y271" s="197"/>
      <c r="Z271" s="194"/>
    </row>
    <row r="272">
      <c r="A272" s="198"/>
      <c r="B272" s="121"/>
      <c r="C272" s="205" t="str">
        <f>'Daily Tracker'!D430</f>
        <v/>
      </c>
      <c r="D272" s="121"/>
      <c r="E272" s="200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7"/>
      <c r="Y272" s="197"/>
      <c r="Z272" s="194"/>
    </row>
    <row r="273">
      <c r="A273" s="198"/>
      <c r="B273" s="121"/>
      <c r="C273" s="205" t="str">
        <f>'Daily Tracker'!D431</f>
        <v/>
      </c>
      <c r="D273" s="121"/>
      <c r="E273" s="200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7"/>
      <c r="Y273" s="197"/>
      <c r="Z273" s="194"/>
    </row>
    <row r="274">
      <c r="A274" s="198"/>
      <c r="B274" s="121"/>
      <c r="C274" s="205" t="str">
        <f>'Daily Tracker'!D432</f>
        <v/>
      </c>
      <c r="D274" s="121"/>
      <c r="E274" s="200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7"/>
      <c r="Y274" s="197"/>
      <c r="Z274" s="194"/>
    </row>
    <row r="275">
      <c r="A275" s="198"/>
      <c r="B275" s="138"/>
      <c r="C275" s="206" t="str">
        <f>'Daily Tracker'!D433</f>
        <v/>
      </c>
      <c r="D275" s="138"/>
      <c r="E275" s="200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7"/>
      <c r="Y275" s="197"/>
      <c r="Z275" s="194"/>
    </row>
    <row r="276">
      <c r="A276" s="198"/>
      <c r="B276" s="202">
        <f>B269+1</f>
        <v>40</v>
      </c>
      <c r="C276" s="203" t="str">
        <f>'Daily Tracker'!D438</f>
        <v/>
      </c>
      <c r="D276" s="204" t="str">
        <f>IFERROR(ROUND(AVERAGE(C276:C282),1),NA())</f>
        <v>#N/A</v>
      </c>
      <c r="E276" s="200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7"/>
      <c r="Y276" s="197"/>
      <c r="Z276" s="194"/>
    </row>
    <row r="277">
      <c r="A277" s="198"/>
      <c r="B277" s="121"/>
      <c r="C277" s="205" t="str">
        <f>'Daily Tracker'!D439</f>
        <v/>
      </c>
      <c r="D277" s="121"/>
      <c r="E277" s="200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7"/>
      <c r="Y277" s="197"/>
      <c r="Z277" s="194"/>
    </row>
    <row r="278">
      <c r="A278" s="198"/>
      <c r="B278" s="121"/>
      <c r="C278" s="205" t="str">
        <f>'Daily Tracker'!D440</f>
        <v/>
      </c>
      <c r="D278" s="121"/>
      <c r="E278" s="200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7"/>
      <c r="Y278" s="197"/>
      <c r="Z278" s="194"/>
    </row>
    <row r="279">
      <c r="A279" s="198"/>
      <c r="B279" s="121"/>
      <c r="C279" s="205" t="str">
        <f>'Daily Tracker'!D441</f>
        <v/>
      </c>
      <c r="D279" s="121"/>
      <c r="E279" s="200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7"/>
      <c r="Y279" s="197"/>
      <c r="Z279" s="194"/>
    </row>
    <row r="280">
      <c r="A280" s="198"/>
      <c r="B280" s="121"/>
      <c r="C280" s="205" t="str">
        <f>'Daily Tracker'!D442</f>
        <v/>
      </c>
      <c r="D280" s="121"/>
      <c r="E280" s="200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7"/>
      <c r="Y280" s="197"/>
      <c r="Z280" s="194"/>
    </row>
    <row r="281">
      <c r="A281" s="198"/>
      <c r="B281" s="121"/>
      <c r="C281" s="205" t="str">
        <f>'Daily Tracker'!D443</f>
        <v/>
      </c>
      <c r="D281" s="121"/>
      <c r="E281" s="200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7"/>
      <c r="Y281" s="197"/>
      <c r="Z281" s="194"/>
    </row>
    <row r="282">
      <c r="A282" s="198"/>
      <c r="B282" s="138"/>
      <c r="C282" s="206" t="str">
        <f>'Daily Tracker'!D444</f>
        <v/>
      </c>
      <c r="D282" s="138"/>
      <c r="E282" s="200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7"/>
      <c r="Y282" s="197"/>
      <c r="Z282" s="194"/>
    </row>
    <row r="283">
      <c r="A283" s="198"/>
      <c r="B283" s="202">
        <f>B276+1</f>
        <v>41</v>
      </c>
      <c r="C283" s="203" t="str">
        <f>'Daily Tracker'!D449</f>
        <v/>
      </c>
      <c r="D283" s="204" t="str">
        <f>IFERROR(ROUND(AVERAGE(C283:C289),1),NA())</f>
        <v>#N/A</v>
      </c>
      <c r="E283" s="200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7"/>
      <c r="Y283" s="197"/>
      <c r="Z283" s="194"/>
    </row>
    <row r="284">
      <c r="A284" s="198"/>
      <c r="B284" s="121"/>
      <c r="C284" s="205" t="str">
        <f>'Daily Tracker'!D450</f>
        <v/>
      </c>
      <c r="D284" s="121"/>
      <c r="E284" s="200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7"/>
      <c r="Y284" s="197"/>
      <c r="Z284" s="194"/>
    </row>
    <row r="285">
      <c r="A285" s="198"/>
      <c r="B285" s="121"/>
      <c r="C285" s="205" t="str">
        <f>'Daily Tracker'!D451</f>
        <v/>
      </c>
      <c r="D285" s="121"/>
      <c r="E285" s="200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7"/>
      <c r="Y285" s="197"/>
      <c r="Z285" s="194"/>
    </row>
    <row r="286">
      <c r="A286" s="198"/>
      <c r="B286" s="121"/>
      <c r="C286" s="205" t="str">
        <f>'Daily Tracker'!D452</f>
        <v/>
      </c>
      <c r="D286" s="121"/>
      <c r="E286" s="200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7"/>
      <c r="Y286" s="197"/>
      <c r="Z286" s="194"/>
    </row>
    <row r="287">
      <c r="A287" s="198"/>
      <c r="B287" s="121"/>
      <c r="C287" s="205" t="str">
        <f>'Daily Tracker'!D453</f>
        <v/>
      </c>
      <c r="D287" s="121"/>
      <c r="E287" s="200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7"/>
      <c r="Y287" s="197"/>
      <c r="Z287" s="194"/>
    </row>
    <row r="288">
      <c r="A288" s="198"/>
      <c r="B288" s="121"/>
      <c r="C288" s="205" t="str">
        <f>'Daily Tracker'!D454</f>
        <v/>
      </c>
      <c r="D288" s="121"/>
      <c r="E288" s="200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7"/>
      <c r="Y288" s="197"/>
      <c r="Z288" s="194"/>
    </row>
    <row r="289">
      <c r="A289" s="198"/>
      <c r="B289" s="138"/>
      <c r="C289" s="206" t="str">
        <f>'Daily Tracker'!D455</f>
        <v/>
      </c>
      <c r="D289" s="138"/>
      <c r="E289" s="200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7"/>
      <c r="Y289" s="197"/>
      <c r="Z289" s="194"/>
    </row>
    <row r="290">
      <c r="A290" s="198"/>
      <c r="B290" s="202">
        <f>B283+1</f>
        <v>42</v>
      </c>
      <c r="C290" s="203" t="str">
        <f>'Daily Tracker'!D460</f>
        <v/>
      </c>
      <c r="D290" s="204" t="str">
        <f>IFERROR(ROUND(AVERAGE(C290:C296),1),NA())</f>
        <v>#N/A</v>
      </c>
      <c r="E290" s="200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7"/>
      <c r="Y290" s="197"/>
      <c r="Z290" s="194"/>
    </row>
    <row r="291">
      <c r="A291" s="198"/>
      <c r="B291" s="121"/>
      <c r="C291" s="205" t="str">
        <f>'Daily Tracker'!D461</f>
        <v/>
      </c>
      <c r="D291" s="121"/>
      <c r="E291" s="200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7"/>
      <c r="Y291" s="197"/>
      <c r="Z291" s="194"/>
    </row>
    <row r="292">
      <c r="A292" s="198"/>
      <c r="B292" s="121"/>
      <c r="C292" s="205" t="str">
        <f>'Daily Tracker'!D462</f>
        <v/>
      </c>
      <c r="D292" s="121"/>
      <c r="E292" s="200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7"/>
      <c r="Y292" s="197"/>
      <c r="Z292" s="194"/>
    </row>
    <row r="293">
      <c r="A293" s="198"/>
      <c r="B293" s="121"/>
      <c r="C293" s="205" t="str">
        <f>'Daily Tracker'!D463</f>
        <v/>
      </c>
      <c r="D293" s="121"/>
      <c r="E293" s="200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7"/>
      <c r="Y293" s="197"/>
      <c r="Z293" s="194"/>
    </row>
    <row r="294">
      <c r="A294" s="198"/>
      <c r="B294" s="121"/>
      <c r="C294" s="205" t="str">
        <f>'Daily Tracker'!D464</f>
        <v/>
      </c>
      <c r="D294" s="121"/>
      <c r="E294" s="200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7"/>
      <c r="Y294" s="197"/>
      <c r="Z294" s="194"/>
    </row>
    <row r="295">
      <c r="A295" s="198"/>
      <c r="B295" s="121"/>
      <c r="C295" s="205" t="str">
        <f>'Daily Tracker'!D465</f>
        <v/>
      </c>
      <c r="D295" s="121"/>
      <c r="E295" s="200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7"/>
      <c r="Y295" s="197"/>
      <c r="Z295" s="194"/>
    </row>
    <row r="296">
      <c r="A296" s="198"/>
      <c r="B296" s="138"/>
      <c r="C296" s="206" t="str">
        <f>'Daily Tracker'!D466</f>
        <v/>
      </c>
      <c r="D296" s="138"/>
      <c r="E296" s="200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7"/>
      <c r="Y296" s="197"/>
      <c r="Z296" s="194"/>
    </row>
    <row r="297">
      <c r="A297" s="198"/>
      <c r="B297" s="202">
        <f>B290+1</f>
        <v>43</v>
      </c>
      <c r="C297" s="203" t="str">
        <f>'Daily Tracker'!D471</f>
        <v/>
      </c>
      <c r="D297" s="204" t="str">
        <f>IFERROR(ROUND(AVERAGE(C297:C303),1),NA())</f>
        <v>#N/A</v>
      </c>
      <c r="E297" s="200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7"/>
      <c r="Y297" s="197"/>
      <c r="Z297" s="194"/>
    </row>
    <row r="298">
      <c r="A298" s="198"/>
      <c r="B298" s="121"/>
      <c r="C298" s="205" t="str">
        <f>'Daily Tracker'!D472</f>
        <v/>
      </c>
      <c r="D298" s="121"/>
      <c r="E298" s="200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7"/>
      <c r="Y298" s="197"/>
      <c r="Z298" s="194"/>
    </row>
    <row r="299">
      <c r="A299" s="198"/>
      <c r="B299" s="121"/>
      <c r="C299" s="205" t="str">
        <f>'Daily Tracker'!D473</f>
        <v/>
      </c>
      <c r="D299" s="121"/>
      <c r="E299" s="200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7"/>
      <c r="Y299" s="197"/>
      <c r="Z299" s="194"/>
    </row>
    <row r="300">
      <c r="A300" s="198"/>
      <c r="B300" s="121"/>
      <c r="C300" s="205" t="str">
        <f>'Daily Tracker'!D474</f>
        <v/>
      </c>
      <c r="D300" s="121"/>
      <c r="E300" s="200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7"/>
      <c r="Y300" s="197"/>
      <c r="Z300" s="194"/>
    </row>
    <row r="301">
      <c r="A301" s="198"/>
      <c r="B301" s="121"/>
      <c r="C301" s="205" t="str">
        <f>'Daily Tracker'!D475</f>
        <v/>
      </c>
      <c r="D301" s="121"/>
      <c r="E301" s="200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7"/>
      <c r="Y301" s="197"/>
      <c r="Z301" s="194"/>
    </row>
    <row r="302">
      <c r="A302" s="198"/>
      <c r="B302" s="121"/>
      <c r="C302" s="205" t="str">
        <f>'Daily Tracker'!D476</f>
        <v/>
      </c>
      <c r="D302" s="121"/>
      <c r="E302" s="200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7"/>
      <c r="Y302" s="197"/>
      <c r="Z302" s="194"/>
    </row>
    <row r="303">
      <c r="A303" s="198"/>
      <c r="B303" s="138"/>
      <c r="C303" s="206" t="str">
        <f>'Daily Tracker'!D477</f>
        <v/>
      </c>
      <c r="D303" s="138"/>
      <c r="E303" s="200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7"/>
      <c r="Y303" s="197"/>
      <c r="Z303" s="194"/>
    </row>
    <row r="304">
      <c r="A304" s="198"/>
      <c r="B304" s="202">
        <f>B297+1</f>
        <v>44</v>
      </c>
      <c r="C304" s="203" t="str">
        <f>'Daily Tracker'!D482</f>
        <v/>
      </c>
      <c r="D304" s="204" t="str">
        <f>IFERROR(ROUND(AVERAGE(C304:C310),1),NA())</f>
        <v>#N/A</v>
      </c>
      <c r="E304" s="200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7"/>
      <c r="Y304" s="197"/>
      <c r="Z304" s="194"/>
    </row>
    <row r="305">
      <c r="A305" s="198"/>
      <c r="B305" s="121"/>
      <c r="C305" s="205" t="str">
        <f>'Daily Tracker'!D483</f>
        <v/>
      </c>
      <c r="D305" s="121"/>
      <c r="E305" s="200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7"/>
      <c r="Y305" s="197"/>
      <c r="Z305" s="194"/>
    </row>
    <row r="306">
      <c r="A306" s="198"/>
      <c r="B306" s="121"/>
      <c r="C306" s="205" t="str">
        <f>'Daily Tracker'!D484</f>
        <v/>
      </c>
      <c r="D306" s="121"/>
      <c r="E306" s="200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7"/>
      <c r="Y306" s="197"/>
      <c r="Z306" s="194"/>
    </row>
    <row r="307">
      <c r="A307" s="198"/>
      <c r="B307" s="121"/>
      <c r="C307" s="205" t="str">
        <f>'Daily Tracker'!D485</f>
        <v/>
      </c>
      <c r="D307" s="121"/>
      <c r="E307" s="200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7"/>
      <c r="Y307" s="197"/>
      <c r="Z307" s="194"/>
    </row>
    <row r="308">
      <c r="A308" s="198"/>
      <c r="B308" s="121"/>
      <c r="C308" s="205" t="str">
        <f>'Daily Tracker'!D486</f>
        <v/>
      </c>
      <c r="D308" s="121"/>
      <c r="E308" s="200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7"/>
      <c r="Y308" s="197"/>
      <c r="Z308" s="194"/>
    </row>
    <row r="309">
      <c r="A309" s="198"/>
      <c r="B309" s="121"/>
      <c r="C309" s="205" t="str">
        <f>'Daily Tracker'!D487</f>
        <v/>
      </c>
      <c r="D309" s="121"/>
      <c r="E309" s="200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7"/>
      <c r="Y309" s="197"/>
      <c r="Z309" s="194"/>
    </row>
    <row r="310">
      <c r="A310" s="198"/>
      <c r="B310" s="138"/>
      <c r="C310" s="206" t="str">
        <f>'Daily Tracker'!D488</f>
        <v/>
      </c>
      <c r="D310" s="138"/>
      <c r="E310" s="200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7"/>
      <c r="Y310" s="197"/>
      <c r="Z310" s="194"/>
    </row>
    <row r="311">
      <c r="A311" s="198"/>
      <c r="B311" s="202">
        <f>B304+1</f>
        <v>45</v>
      </c>
      <c r="C311" s="203" t="str">
        <f>'Daily Tracker'!D493</f>
        <v/>
      </c>
      <c r="D311" s="204" t="str">
        <f>IFERROR(ROUND(AVERAGE(C311:C317),1),NA())</f>
        <v>#N/A</v>
      </c>
      <c r="E311" s="200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7"/>
      <c r="Y311" s="197"/>
      <c r="Z311" s="194"/>
    </row>
    <row r="312">
      <c r="A312" s="198"/>
      <c r="B312" s="121"/>
      <c r="C312" s="205" t="str">
        <f>'Daily Tracker'!D494</f>
        <v/>
      </c>
      <c r="D312" s="121"/>
      <c r="E312" s="200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7"/>
      <c r="Y312" s="197"/>
      <c r="Z312" s="194"/>
    </row>
    <row r="313">
      <c r="A313" s="198"/>
      <c r="B313" s="121"/>
      <c r="C313" s="205" t="str">
        <f>'Daily Tracker'!D495</f>
        <v/>
      </c>
      <c r="D313" s="121"/>
      <c r="E313" s="200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7"/>
      <c r="Y313" s="197"/>
      <c r="Z313" s="194"/>
    </row>
    <row r="314">
      <c r="A314" s="198"/>
      <c r="B314" s="121"/>
      <c r="C314" s="205" t="str">
        <f>'Daily Tracker'!D496</f>
        <v/>
      </c>
      <c r="D314" s="121"/>
      <c r="E314" s="200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7"/>
      <c r="Y314" s="197"/>
      <c r="Z314" s="194"/>
    </row>
    <row r="315">
      <c r="A315" s="198"/>
      <c r="B315" s="121"/>
      <c r="C315" s="205" t="str">
        <f>'Daily Tracker'!D497</f>
        <v/>
      </c>
      <c r="D315" s="121"/>
      <c r="E315" s="200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7"/>
      <c r="Y315" s="197"/>
      <c r="Z315" s="194"/>
    </row>
    <row r="316">
      <c r="A316" s="198"/>
      <c r="B316" s="121"/>
      <c r="C316" s="205" t="str">
        <f>'Daily Tracker'!D498</f>
        <v/>
      </c>
      <c r="D316" s="121"/>
      <c r="E316" s="200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7"/>
      <c r="Y316" s="197"/>
      <c r="Z316" s="194"/>
    </row>
    <row r="317">
      <c r="A317" s="198"/>
      <c r="B317" s="138"/>
      <c r="C317" s="206" t="str">
        <f>'Daily Tracker'!D499</f>
        <v/>
      </c>
      <c r="D317" s="138"/>
      <c r="E317" s="200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7"/>
      <c r="Y317" s="197"/>
      <c r="Z317" s="194"/>
    </row>
    <row r="318">
      <c r="A318" s="198"/>
      <c r="B318" s="202">
        <f>B311+1</f>
        <v>46</v>
      </c>
      <c r="C318" s="203" t="str">
        <f>'Daily Tracker'!D504</f>
        <v/>
      </c>
      <c r="D318" s="204" t="str">
        <f>IFERROR(ROUND(AVERAGE(C318:C324),1),NA())</f>
        <v>#N/A</v>
      </c>
      <c r="E318" s="200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7"/>
      <c r="Y318" s="197"/>
      <c r="Z318" s="194"/>
    </row>
    <row r="319">
      <c r="A319" s="198"/>
      <c r="B319" s="121"/>
      <c r="C319" s="205" t="str">
        <f>'Daily Tracker'!D505</f>
        <v/>
      </c>
      <c r="D319" s="121"/>
      <c r="E319" s="200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7"/>
      <c r="Y319" s="197"/>
      <c r="Z319" s="194"/>
    </row>
    <row r="320">
      <c r="A320" s="198"/>
      <c r="B320" s="121"/>
      <c r="C320" s="205" t="str">
        <f>'Daily Tracker'!D506</f>
        <v/>
      </c>
      <c r="D320" s="121"/>
      <c r="E320" s="200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7"/>
      <c r="Y320" s="197"/>
      <c r="Z320" s="194"/>
    </row>
    <row r="321">
      <c r="A321" s="198"/>
      <c r="B321" s="121"/>
      <c r="C321" s="205" t="str">
        <f>'Daily Tracker'!D507</f>
        <v/>
      </c>
      <c r="D321" s="121"/>
      <c r="E321" s="200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7"/>
      <c r="Y321" s="197"/>
      <c r="Z321" s="194"/>
    </row>
    <row r="322">
      <c r="A322" s="198"/>
      <c r="B322" s="121"/>
      <c r="C322" s="205" t="str">
        <f>'Daily Tracker'!D508</f>
        <v/>
      </c>
      <c r="D322" s="121"/>
      <c r="E322" s="200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7"/>
      <c r="Y322" s="197"/>
      <c r="Z322" s="194"/>
    </row>
    <row r="323">
      <c r="A323" s="198"/>
      <c r="B323" s="121"/>
      <c r="C323" s="205" t="str">
        <f>'Daily Tracker'!D509</f>
        <v/>
      </c>
      <c r="D323" s="121"/>
      <c r="E323" s="200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7"/>
      <c r="Y323" s="197"/>
      <c r="Z323" s="194"/>
    </row>
    <row r="324">
      <c r="A324" s="198"/>
      <c r="B324" s="138"/>
      <c r="C324" s="206" t="str">
        <f>'Daily Tracker'!D510</f>
        <v/>
      </c>
      <c r="D324" s="138"/>
      <c r="E324" s="200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7"/>
      <c r="Y324" s="197"/>
      <c r="Z324" s="194"/>
    </row>
    <row r="325">
      <c r="A325" s="198"/>
      <c r="B325" s="202">
        <f>B318+1</f>
        <v>47</v>
      </c>
      <c r="C325" s="203" t="str">
        <f>'Daily Tracker'!D515</f>
        <v/>
      </c>
      <c r="D325" s="204" t="str">
        <f>IFERROR(ROUND(AVERAGE(C325:C331),1),NA())</f>
        <v>#N/A</v>
      </c>
      <c r="E325" s="200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7"/>
      <c r="Y325" s="197"/>
      <c r="Z325" s="194"/>
    </row>
    <row r="326">
      <c r="A326" s="198"/>
      <c r="B326" s="121"/>
      <c r="C326" s="205" t="str">
        <f>'Daily Tracker'!D516</f>
        <v/>
      </c>
      <c r="D326" s="121"/>
      <c r="E326" s="200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7"/>
      <c r="Y326" s="197"/>
      <c r="Z326" s="194"/>
    </row>
    <row r="327">
      <c r="A327" s="198"/>
      <c r="B327" s="121"/>
      <c r="C327" s="205" t="str">
        <f>'Daily Tracker'!D517</f>
        <v/>
      </c>
      <c r="D327" s="121"/>
      <c r="E327" s="200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7"/>
      <c r="Y327" s="197"/>
      <c r="Z327" s="194"/>
    </row>
    <row r="328">
      <c r="A328" s="198"/>
      <c r="B328" s="121"/>
      <c r="C328" s="205" t="str">
        <f>'Daily Tracker'!D518</f>
        <v/>
      </c>
      <c r="D328" s="121"/>
      <c r="E328" s="200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7"/>
      <c r="Y328" s="197"/>
      <c r="Z328" s="194"/>
    </row>
    <row r="329">
      <c r="A329" s="198"/>
      <c r="B329" s="121"/>
      <c r="C329" s="205" t="str">
        <f>'Daily Tracker'!D519</f>
        <v/>
      </c>
      <c r="D329" s="121"/>
      <c r="E329" s="200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7"/>
      <c r="Y329" s="197"/>
      <c r="Z329" s="194"/>
    </row>
    <row r="330">
      <c r="A330" s="198"/>
      <c r="B330" s="121"/>
      <c r="C330" s="205" t="str">
        <f>'Daily Tracker'!D520</f>
        <v/>
      </c>
      <c r="D330" s="121"/>
      <c r="E330" s="200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7"/>
      <c r="Y330" s="197"/>
      <c r="Z330" s="194"/>
    </row>
    <row r="331">
      <c r="A331" s="198"/>
      <c r="B331" s="138"/>
      <c r="C331" s="206" t="str">
        <f>'Daily Tracker'!D521</f>
        <v/>
      </c>
      <c r="D331" s="138"/>
      <c r="E331" s="200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7"/>
      <c r="Y331" s="197"/>
      <c r="Z331" s="194"/>
    </row>
    <row r="332">
      <c r="A332" s="198"/>
      <c r="B332" s="202">
        <f>B325+1</f>
        <v>48</v>
      </c>
      <c r="C332" s="203" t="str">
        <f>'Daily Tracker'!D526</f>
        <v/>
      </c>
      <c r="D332" s="204" t="str">
        <f>IFERROR(ROUND(AVERAGE(C332:C338),1),NA())</f>
        <v>#N/A</v>
      </c>
      <c r="E332" s="200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7"/>
      <c r="Y332" s="197"/>
      <c r="Z332" s="194"/>
    </row>
    <row r="333">
      <c r="A333" s="198"/>
      <c r="B333" s="121"/>
      <c r="C333" s="205" t="str">
        <f>'Daily Tracker'!D527</f>
        <v/>
      </c>
      <c r="D333" s="121"/>
      <c r="E333" s="200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7"/>
      <c r="Y333" s="197"/>
      <c r="Z333" s="194"/>
    </row>
    <row r="334">
      <c r="A334" s="198"/>
      <c r="B334" s="121"/>
      <c r="C334" s="205" t="str">
        <f>'Daily Tracker'!D528</f>
        <v/>
      </c>
      <c r="D334" s="121"/>
      <c r="E334" s="200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7"/>
      <c r="Y334" s="197"/>
      <c r="Z334" s="194"/>
    </row>
    <row r="335">
      <c r="A335" s="198"/>
      <c r="B335" s="121"/>
      <c r="C335" s="205" t="str">
        <f>'Daily Tracker'!D529</f>
        <v/>
      </c>
      <c r="D335" s="121"/>
      <c r="E335" s="200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7"/>
      <c r="Y335" s="197"/>
      <c r="Z335" s="194"/>
    </row>
    <row r="336">
      <c r="A336" s="198"/>
      <c r="B336" s="121"/>
      <c r="C336" s="205" t="str">
        <f>'Daily Tracker'!D530</f>
        <v/>
      </c>
      <c r="D336" s="121"/>
      <c r="E336" s="200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7"/>
      <c r="Y336" s="197"/>
      <c r="Z336" s="194"/>
    </row>
    <row r="337">
      <c r="A337" s="198"/>
      <c r="B337" s="121"/>
      <c r="C337" s="205" t="str">
        <f>'Daily Tracker'!D531</f>
        <v/>
      </c>
      <c r="D337" s="121"/>
      <c r="E337" s="200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7"/>
      <c r="Y337" s="197"/>
      <c r="Z337" s="194"/>
    </row>
    <row r="338">
      <c r="A338" s="198"/>
      <c r="B338" s="138"/>
      <c r="C338" s="206" t="str">
        <f>'Daily Tracker'!D532</f>
        <v/>
      </c>
      <c r="D338" s="138"/>
      <c r="E338" s="200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7"/>
      <c r="Y338" s="197"/>
      <c r="Z338" s="194"/>
    </row>
    <row r="339">
      <c r="A339" s="198"/>
      <c r="B339" s="202">
        <f>B332+1</f>
        <v>49</v>
      </c>
      <c r="C339" s="203" t="str">
        <f>'Daily Tracker'!D537</f>
        <v/>
      </c>
      <c r="D339" s="204" t="str">
        <f>IFERROR(ROUND(AVERAGE(C339:C345),1),NA())</f>
        <v>#N/A</v>
      </c>
      <c r="E339" s="200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7"/>
      <c r="Y339" s="197"/>
      <c r="Z339" s="194"/>
    </row>
    <row r="340">
      <c r="A340" s="198"/>
      <c r="B340" s="121"/>
      <c r="C340" s="205" t="str">
        <f>'Daily Tracker'!D538</f>
        <v/>
      </c>
      <c r="D340" s="121"/>
      <c r="E340" s="200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7"/>
      <c r="Y340" s="197"/>
      <c r="Z340" s="194"/>
    </row>
    <row r="341">
      <c r="A341" s="198"/>
      <c r="B341" s="121"/>
      <c r="C341" s="205" t="str">
        <f>'Daily Tracker'!D539</f>
        <v/>
      </c>
      <c r="D341" s="121"/>
      <c r="E341" s="200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7"/>
      <c r="Y341" s="197"/>
      <c r="Z341" s="194"/>
    </row>
    <row r="342">
      <c r="A342" s="198"/>
      <c r="B342" s="121"/>
      <c r="C342" s="205" t="str">
        <f>'Daily Tracker'!D540</f>
        <v/>
      </c>
      <c r="D342" s="121"/>
      <c r="E342" s="200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7"/>
      <c r="Y342" s="197"/>
      <c r="Z342" s="194"/>
    </row>
    <row r="343">
      <c r="A343" s="198"/>
      <c r="B343" s="121"/>
      <c r="C343" s="205" t="str">
        <f>'Daily Tracker'!D541</f>
        <v/>
      </c>
      <c r="D343" s="121"/>
      <c r="E343" s="200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7"/>
      <c r="Y343" s="197"/>
      <c r="Z343" s="194"/>
    </row>
    <row r="344">
      <c r="A344" s="198"/>
      <c r="B344" s="121"/>
      <c r="C344" s="205" t="str">
        <f>'Daily Tracker'!D542</f>
        <v/>
      </c>
      <c r="D344" s="121"/>
      <c r="E344" s="200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7"/>
      <c r="Y344" s="197"/>
      <c r="Z344" s="194"/>
    </row>
    <row r="345">
      <c r="A345" s="198"/>
      <c r="B345" s="138"/>
      <c r="C345" s="206" t="str">
        <f>'Daily Tracker'!D543</f>
        <v/>
      </c>
      <c r="D345" s="138"/>
      <c r="E345" s="200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7"/>
      <c r="Y345" s="197"/>
      <c r="Z345" s="194"/>
    </row>
    <row r="346">
      <c r="A346" s="198"/>
      <c r="B346" s="202">
        <f>B339+1</f>
        <v>50</v>
      </c>
      <c r="C346" s="203" t="str">
        <f>'Daily Tracker'!D548</f>
        <v/>
      </c>
      <c r="D346" s="204" t="str">
        <f>IFERROR(ROUND(AVERAGE(C346:C352),1),NA())</f>
        <v>#N/A</v>
      </c>
      <c r="E346" s="200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7"/>
      <c r="Y346" s="197"/>
      <c r="Z346" s="194"/>
    </row>
    <row r="347">
      <c r="A347" s="198"/>
      <c r="B347" s="121"/>
      <c r="C347" s="205" t="str">
        <f>'Daily Tracker'!D549</f>
        <v/>
      </c>
      <c r="D347" s="121"/>
      <c r="E347" s="200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7"/>
      <c r="Y347" s="197"/>
      <c r="Z347" s="194"/>
    </row>
    <row r="348">
      <c r="A348" s="198"/>
      <c r="B348" s="121"/>
      <c r="C348" s="205" t="str">
        <f>'Daily Tracker'!D550</f>
        <v/>
      </c>
      <c r="D348" s="121"/>
      <c r="E348" s="200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7"/>
      <c r="Y348" s="197"/>
      <c r="Z348" s="194"/>
    </row>
    <row r="349">
      <c r="A349" s="198"/>
      <c r="B349" s="121"/>
      <c r="C349" s="205" t="str">
        <f>'Daily Tracker'!D551</f>
        <v/>
      </c>
      <c r="D349" s="121"/>
      <c r="E349" s="200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7"/>
      <c r="Y349" s="197"/>
      <c r="Z349" s="194"/>
    </row>
    <row r="350">
      <c r="A350" s="198"/>
      <c r="B350" s="121"/>
      <c r="C350" s="205" t="str">
        <f>'Daily Tracker'!D552</f>
        <v/>
      </c>
      <c r="D350" s="121"/>
      <c r="E350" s="200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7"/>
      <c r="Y350" s="197"/>
      <c r="Z350" s="194"/>
    </row>
    <row r="351">
      <c r="A351" s="198"/>
      <c r="B351" s="121"/>
      <c r="C351" s="205" t="str">
        <f>'Daily Tracker'!D553</f>
        <v/>
      </c>
      <c r="D351" s="121"/>
      <c r="E351" s="200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7"/>
      <c r="Y351" s="197"/>
      <c r="Z351" s="194"/>
    </row>
    <row r="352">
      <c r="A352" s="198"/>
      <c r="B352" s="138"/>
      <c r="C352" s="206" t="str">
        <f>'Daily Tracker'!D554</f>
        <v/>
      </c>
      <c r="D352" s="138"/>
      <c r="E352" s="200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7"/>
      <c r="Y352" s="197"/>
      <c r="Z352" s="194"/>
    </row>
    <row r="353">
      <c r="A353" s="198"/>
      <c r="B353" s="202">
        <f>B346+1</f>
        <v>51</v>
      </c>
      <c r="C353" s="203" t="str">
        <f>'Daily Tracker'!D559</f>
        <v/>
      </c>
      <c r="D353" s="204" t="str">
        <f>IFERROR(ROUND(AVERAGE(C353:C359),1),NA())</f>
        <v>#N/A</v>
      </c>
      <c r="E353" s="200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7"/>
      <c r="Y353" s="197"/>
      <c r="Z353" s="194"/>
    </row>
    <row r="354">
      <c r="A354" s="198"/>
      <c r="B354" s="121"/>
      <c r="C354" s="205" t="str">
        <f>'Daily Tracker'!D560</f>
        <v/>
      </c>
      <c r="D354" s="121"/>
      <c r="E354" s="200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7"/>
      <c r="Y354" s="197"/>
      <c r="Z354" s="194"/>
    </row>
    <row r="355">
      <c r="A355" s="198"/>
      <c r="B355" s="121"/>
      <c r="C355" s="205" t="str">
        <f>'Daily Tracker'!D561</f>
        <v/>
      </c>
      <c r="D355" s="121"/>
      <c r="E355" s="200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7"/>
      <c r="Y355" s="197"/>
      <c r="Z355" s="194"/>
    </row>
    <row r="356">
      <c r="A356" s="198"/>
      <c r="B356" s="121"/>
      <c r="C356" s="205" t="str">
        <f>'Daily Tracker'!D562</f>
        <v/>
      </c>
      <c r="D356" s="121"/>
      <c r="E356" s="200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7"/>
      <c r="Y356" s="197"/>
      <c r="Z356" s="194"/>
    </row>
    <row r="357">
      <c r="A357" s="198"/>
      <c r="B357" s="121"/>
      <c r="C357" s="205" t="str">
        <f>'Daily Tracker'!D563</f>
        <v/>
      </c>
      <c r="D357" s="121"/>
      <c r="E357" s="200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7"/>
      <c r="Y357" s="197"/>
      <c r="Z357" s="194"/>
    </row>
    <row r="358">
      <c r="A358" s="198"/>
      <c r="B358" s="121"/>
      <c r="C358" s="205" t="str">
        <f>'Daily Tracker'!D564</f>
        <v/>
      </c>
      <c r="D358" s="121"/>
      <c r="E358" s="200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7"/>
      <c r="Y358" s="197"/>
      <c r="Z358" s="194"/>
    </row>
    <row r="359">
      <c r="A359" s="198"/>
      <c r="B359" s="138"/>
      <c r="C359" s="206" t="str">
        <f>'Daily Tracker'!D565</f>
        <v/>
      </c>
      <c r="D359" s="138"/>
      <c r="E359" s="200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7"/>
      <c r="Y359" s="197"/>
      <c r="Z359" s="194"/>
    </row>
    <row r="360">
      <c r="A360" s="198"/>
      <c r="B360" s="202">
        <f>B353+1</f>
        <v>52</v>
      </c>
      <c r="C360" s="203" t="str">
        <f>'Daily Tracker'!D570</f>
        <v/>
      </c>
      <c r="D360" s="204" t="str">
        <f>IFERROR(ROUND(AVERAGE(C360:C366),1),NA())</f>
        <v>#N/A</v>
      </c>
      <c r="E360" s="200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7"/>
      <c r="Y360" s="197"/>
      <c r="Z360" s="194"/>
    </row>
    <row r="361">
      <c r="A361" s="198"/>
      <c r="B361" s="121"/>
      <c r="C361" s="205" t="str">
        <f>'Daily Tracker'!D571</f>
        <v/>
      </c>
      <c r="D361" s="121"/>
      <c r="E361" s="200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7"/>
      <c r="Y361" s="197"/>
      <c r="Z361" s="194"/>
    </row>
    <row r="362">
      <c r="A362" s="198"/>
      <c r="B362" s="121"/>
      <c r="C362" s="205" t="str">
        <f>'Daily Tracker'!D572</f>
        <v/>
      </c>
      <c r="D362" s="121"/>
      <c r="E362" s="200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7"/>
      <c r="Y362" s="197"/>
      <c r="Z362" s="194"/>
    </row>
    <row r="363">
      <c r="A363" s="198"/>
      <c r="B363" s="121"/>
      <c r="C363" s="205" t="str">
        <f>'Daily Tracker'!D573</f>
        <v/>
      </c>
      <c r="D363" s="121"/>
      <c r="E363" s="200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7"/>
      <c r="Y363" s="197"/>
      <c r="Z363" s="194"/>
    </row>
    <row r="364">
      <c r="A364" s="198"/>
      <c r="B364" s="121"/>
      <c r="C364" s="205" t="str">
        <f>'Daily Tracker'!D574</f>
        <v/>
      </c>
      <c r="D364" s="121"/>
      <c r="E364" s="200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7"/>
      <c r="Y364" s="197"/>
      <c r="Z364" s="194"/>
    </row>
    <row r="365">
      <c r="A365" s="198"/>
      <c r="B365" s="121"/>
      <c r="C365" s="205" t="str">
        <f>'Daily Tracker'!D575</f>
        <v/>
      </c>
      <c r="D365" s="121"/>
      <c r="E365" s="200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7"/>
      <c r="Y365" s="197"/>
      <c r="Z365" s="194"/>
    </row>
    <row r="366">
      <c r="A366" s="198"/>
      <c r="B366" s="138"/>
      <c r="C366" s="206" t="str">
        <f>'Daily Tracker'!D576</f>
        <v/>
      </c>
      <c r="D366" s="138"/>
      <c r="E366" s="200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7"/>
      <c r="Y366" s="197"/>
      <c r="Z366" s="194"/>
    </row>
    <row r="367" ht="33.75" customHeight="1">
      <c r="A367" s="194"/>
      <c r="B367" s="193" t="s">
        <v>464</v>
      </c>
      <c r="C367" s="22"/>
      <c r="D367" s="23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7"/>
      <c r="Y367" s="197"/>
      <c r="Z367" s="194"/>
    </row>
  </sheetData>
  <mergeCells count="107">
    <mergeCell ref="D185:D191"/>
    <mergeCell ref="D192:D198"/>
    <mergeCell ref="D136:D142"/>
    <mergeCell ref="D143:D149"/>
    <mergeCell ref="D150:D156"/>
    <mergeCell ref="D157:D163"/>
    <mergeCell ref="D164:D170"/>
    <mergeCell ref="D171:D177"/>
    <mergeCell ref="D178:D184"/>
    <mergeCell ref="B157:B163"/>
    <mergeCell ref="B164:B170"/>
    <mergeCell ref="B171:B177"/>
    <mergeCell ref="B178:B184"/>
    <mergeCell ref="B185:B191"/>
    <mergeCell ref="B192:B198"/>
    <mergeCell ref="D199:D205"/>
    <mergeCell ref="D227:D233"/>
    <mergeCell ref="D234:D240"/>
    <mergeCell ref="B199:B205"/>
    <mergeCell ref="B206:B212"/>
    <mergeCell ref="B213:B219"/>
    <mergeCell ref="B220:B226"/>
    <mergeCell ref="D220:D226"/>
    <mergeCell ref="B227:B233"/>
    <mergeCell ref="B234:B240"/>
    <mergeCell ref="B241:B247"/>
    <mergeCell ref="D241:D247"/>
    <mergeCell ref="B248:B254"/>
    <mergeCell ref="D248:D254"/>
    <mergeCell ref="B255:B261"/>
    <mergeCell ref="D255:D261"/>
    <mergeCell ref="D262:D268"/>
    <mergeCell ref="B311:B317"/>
    <mergeCell ref="B318:B324"/>
    <mergeCell ref="B325:B331"/>
    <mergeCell ref="B332:B338"/>
    <mergeCell ref="B339:B345"/>
    <mergeCell ref="B346:B352"/>
    <mergeCell ref="B353:B359"/>
    <mergeCell ref="B360:B366"/>
    <mergeCell ref="B262:B268"/>
    <mergeCell ref="B269:B275"/>
    <mergeCell ref="B276:B282"/>
    <mergeCell ref="B283:B289"/>
    <mergeCell ref="B290:B296"/>
    <mergeCell ref="B297:B303"/>
    <mergeCell ref="B304:B310"/>
    <mergeCell ref="D318:D324"/>
    <mergeCell ref="D325:D331"/>
    <mergeCell ref="D332:D338"/>
    <mergeCell ref="D339:D345"/>
    <mergeCell ref="D346:D352"/>
    <mergeCell ref="D353:D359"/>
    <mergeCell ref="D360:D366"/>
    <mergeCell ref="B367:D367"/>
    <mergeCell ref="D269:D275"/>
    <mergeCell ref="D276:D282"/>
    <mergeCell ref="D283:D289"/>
    <mergeCell ref="D290:D296"/>
    <mergeCell ref="D297:D303"/>
    <mergeCell ref="D304:D310"/>
    <mergeCell ref="D311:D317"/>
    <mergeCell ref="P2:S7"/>
    <mergeCell ref="B3:B9"/>
    <mergeCell ref="D3:D9"/>
    <mergeCell ref="B10:B16"/>
    <mergeCell ref="D10:D16"/>
    <mergeCell ref="B17:B23"/>
    <mergeCell ref="B24:B30"/>
    <mergeCell ref="D52:D58"/>
    <mergeCell ref="D59:D65"/>
    <mergeCell ref="D66:D72"/>
    <mergeCell ref="E69:K77"/>
    <mergeCell ref="D73:D79"/>
    <mergeCell ref="D80:D86"/>
    <mergeCell ref="D87:D93"/>
    <mergeCell ref="D94:D100"/>
    <mergeCell ref="D17:D23"/>
    <mergeCell ref="D24:D30"/>
    <mergeCell ref="B31:B37"/>
    <mergeCell ref="D31:D37"/>
    <mergeCell ref="B38:B44"/>
    <mergeCell ref="D38:D44"/>
    <mergeCell ref="D45:D51"/>
    <mergeCell ref="B45:B51"/>
    <mergeCell ref="B52:B58"/>
    <mergeCell ref="B59:B65"/>
    <mergeCell ref="B66:B72"/>
    <mergeCell ref="B73:B79"/>
    <mergeCell ref="B80:B86"/>
    <mergeCell ref="B87:B93"/>
    <mergeCell ref="B94:B100"/>
    <mergeCell ref="B101:B107"/>
    <mergeCell ref="D101:D107"/>
    <mergeCell ref="D108:D114"/>
    <mergeCell ref="D115:D121"/>
    <mergeCell ref="D122:D128"/>
    <mergeCell ref="D129:D135"/>
    <mergeCell ref="B108:B114"/>
    <mergeCell ref="B115:B121"/>
    <mergeCell ref="B122:B128"/>
    <mergeCell ref="B129:B135"/>
    <mergeCell ref="B136:B142"/>
    <mergeCell ref="B143:B149"/>
    <mergeCell ref="B150:B156"/>
    <mergeCell ref="D206:D212"/>
    <mergeCell ref="D213:D219"/>
  </mergeCells>
  <conditionalFormatting sqref="D1:D367">
    <cfRule type="expression" dxfId="1" priority="1">
      <formula>ISNA($D1)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9CFF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7.63"/>
    <col customWidth="1" min="3" max="6" width="10.13"/>
  </cols>
  <sheetData>
    <row r="1">
      <c r="A1" s="194"/>
      <c r="B1" s="195"/>
      <c r="C1" s="195"/>
      <c r="D1" s="195"/>
      <c r="E1" s="195"/>
      <c r="F1" s="195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</row>
    <row r="2">
      <c r="A2" s="198"/>
      <c r="B2" s="105" t="s">
        <v>29</v>
      </c>
      <c r="C2" s="113" t="s">
        <v>537</v>
      </c>
      <c r="D2" s="113" t="s">
        <v>538</v>
      </c>
      <c r="E2" s="113" t="s">
        <v>539</v>
      </c>
      <c r="F2" s="113" t="s">
        <v>540</v>
      </c>
      <c r="G2" s="200"/>
      <c r="H2" s="194"/>
      <c r="I2" s="194"/>
      <c r="J2" s="194"/>
      <c r="K2" s="194"/>
      <c r="L2" s="194"/>
      <c r="M2" s="194"/>
      <c r="N2" s="194"/>
      <c r="O2" s="194"/>
      <c r="P2" s="194"/>
      <c r="Q2" s="201" t="s">
        <v>541</v>
      </c>
      <c r="R2" s="5"/>
      <c r="S2" s="5"/>
      <c r="T2" s="5"/>
      <c r="U2" s="6"/>
    </row>
    <row r="3">
      <c r="A3" s="198"/>
      <c r="B3" s="208">
        <v>1.0</v>
      </c>
      <c r="C3" s="209"/>
      <c r="D3" s="209"/>
      <c r="E3" s="209"/>
      <c r="F3" s="209"/>
      <c r="G3" s="200"/>
      <c r="H3" s="194"/>
      <c r="I3" s="194"/>
      <c r="J3" s="194"/>
      <c r="K3" s="194"/>
      <c r="L3" s="194"/>
      <c r="M3" s="194"/>
      <c r="N3" s="194"/>
      <c r="O3" s="194"/>
      <c r="P3" s="194"/>
      <c r="Q3" s="13"/>
      <c r="U3" s="14"/>
    </row>
    <row r="4">
      <c r="A4" s="198"/>
      <c r="B4" s="210">
        <v>2.0</v>
      </c>
      <c r="C4" s="211"/>
      <c r="D4" s="211"/>
      <c r="E4" s="211"/>
      <c r="F4" s="211"/>
      <c r="G4" s="200"/>
      <c r="H4" s="194"/>
      <c r="I4" s="194"/>
      <c r="J4" s="194"/>
      <c r="K4" s="194"/>
      <c r="L4" s="194"/>
      <c r="M4" s="194"/>
      <c r="N4" s="194"/>
      <c r="O4" s="194"/>
      <c r="P4" s="194"/>
      <c r="Q4" s="13"/>
      <c r="U4" s="14"/>
    </row>
    <row r="5">
      <c r="A5" s="198"/>
      <c r="B5" s="210">
        <v>3.0</v>
      </c>
      <c r="C5" s="211"/>
      <c r="D5" s="211"/>
      <c r="E5" s="211"/>
      <c r="F5" s="211"/>
      <c r="G5" s="200"/>
      <c r="H5" s="194"/>
      <c r="I5" s="194"/>
      <c r="J5" s="194"/>
      <c r="K5" s="194"/>
      <c r="L5" s="194"/>
      <c r="M5" s="194"/>
      <c r="N5" s="194"/>
      <c r="O5" s="194"/>
      <c r="P5" s="194"/>
      <c r="Q5" s="13"/>
      <c r="U5" s="14"/>
    </row>
    <row r="6">
      <c r="A6" s="198"/>
      <c r="B6" s="210">
        <v>4.0</v>
      </c>
      <c r="C6" s="211"/>
      <c r="D6" s="211"/>
      <c r="E6" s="211"/>
      <c r="F6" s="211"/>
      <c r="G6" s="200"/>
      <c r="H6" s="194"/>
      <c r="I6" s="194"/>
      <c r="J6" s="194"/>
      <c r="K6" s="194"/>
      <c r="L6" s="194"/>
      <c r="M6" s="194"/>
      <c r="N6" s="194"/>
      <c r="O6" s="194"/>
      <c r="P6" s="194"/>
      <c r="Q6" s="13"/>
      <c r="U6" s="14"/>
    </row>
    <row r="7">
      <c r="A7" s="198"/>
      <c r="B7" s="210">
        <v>5.0</v>
      </c>
      <c r="C7" s="211"/>
      <c r="D7" s="211"/>
      <c r="E7" s="211"/>
      <c r="F7" s="211"/>
      <c r="G7" s="200"/>
      <c r="H7" s="194"/>
      <c r="I7" s="194"/>
      <c r="J7" s="194"/>
      <c r="K7" s="194"/>
      <c r="L7" s="194"/>
      <c r="M7" s="194"/>
      <c r="N7" s="194"/>
      <c r="O7" s="194"/>
      <c r="P7" s="194"/>
      <c r="Q7" s="21"/>
      <c r="R7" s="22"/>
      <c r="S7" s="22"/>
      <c r="T7" s="22"/>
      <c r="U7" s="23"/>
    </row>
    <row r="8">
      <c r="A8" s="198"/>
      <c r="B8" s="210">
        <v>6.0</v>
      </c>
      <c r="C8" s="211"/>
      <c r="D8" s="211"/>
      <c r="E8" s="211"/>
      <c r="F8" s="211"/>
      <c r="G8" s="200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</row>
    <row r="9">
      <c r="A9" s="198"/>
      <c r="B9" s="210">
        <v>7.0</v>
      </c>
      <c r="C9" s="211"/>
      <c r="D9" s="211"/>
      <c r="E9" s="211"/>
      <c r="F9" s="211"/>
      <c r="G9" s="200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</row>
    <row r="10">
      <c r="A10" s="198"/>
      <c r="B10" s="210">
        <v>8.0</v>
      </c>
      <c r="C10" s="205"/>
      <c r="D10" s="205"/>
      <c r="E10" s="205"/>
      <c r="F10" s="205"/>
      <c r="G10" s="200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</row>
    <row r="11">
      <c r="A11" s="198"/>
      <c r="B11" s="210">
        <v>9.0</v>
      </c>
      <c r="C11" s="205"/>
      <c r="D11" s="205"/>
      <c r="E11" s="205"/>
      <c r="F11" s="205"/>
      <c r="G11" s="200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</row>
    <row r="12">
      <c r="A12" s="198"/>
      <c r="B12" s="210">
        <v>10.0</v>
      </c>
      <c r="C12" s="205"/>
      <c r="D12" s="205"/>
      <c r="E12" s="205"/>
      <c r="F12" s="205"/>
      <c r="G12" s="200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</row>
    <row r="13">
      <c r="A13" s="198"/>
      <c r="B13" s="210">
        <v>11.0</v>
      </c>
      <c r="C13" s="205"/>
      <c r="D13" s="205"/>
      <c r="E13" s="205"/>
      <c r="F13" s="205"/>
      <c r="G13" s="200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</row>
    <row r="14">
      <c r="A14" s="198"/>
      <c r="B14" s="210">
        <v>12.0</v>
      </c>
      <c r="C14" s="205"/>
      <c r="D14" s="205"/>
      <c r="E14" s="205"/>
      <c r="F14" s="205"/>
      <c r="G14" s="200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</row>
    <row r="15">
      <c r="A15" s="198"/>
      <c r="B15" s="210">
        <v>13.0</v>
      </c>
      <c r="C15" s="205"/>
      <c r="D15" s="205"/>
      <c r="E15" s="205"/>
      <c r="F15" s="205"/>
      <c r="G15" s="200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</row>
    <row r="16">
      <c r="A16" s="198"/>
      <c r="B16" s="210">
        <v>14.0</v>
      </c>
      <c r="C16" s="205"/>
      <c r="D16" s="205"/>
      <c r="E16" s="205"/>
      <c r="F16" s="205"/>
      <c r="G16" s="200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</row>
    <row r="17">
      <c r="A17" s="198"/>
      <c r="B17" s="210">
        <v>15.0</v>
      </c>
      <c r="C17" s="205"/>
      <c r="D17" s="205"/>
      <c r="E17" s="205"/>
      <c r="F17" s="205"/>
      <c r="G17" s="200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</row>
    <row r="18">
      <c r="A18" s="198"/>
      <c r="B18" s="210">
        <v>16.0</v>
      </c>
      <c r="C18" s="205"/>
      <c r="D18" s="205"/>
      <c r="E18" s="205"/>
      <c r="F18" s="205"/>
      <c r="G18" s="200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</row>
    <row r="19">
      <c r="A19" s="198"/>
      <c r="B19" s="210">
        <v>17.0</v>
      </c>
      <c r="C19" s="205"/>
      <c r="D19" s="205"/>
      <c r="E19" s="205"/>
      <c r="F19" s="205"/>
      <c r="G19" s="200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</row>
    <row r="20">
      <c r="A20" s="198"/>
      <c r="B20" s="210">
        <v>18.0</v>
      </c>
      <c r="C20" s="205"/>
      <c r="D20" s="205"/>
      <c r="E20" s="205"/>
      <c r="F20" s="205"/>
      <c r="G20" s="200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</row>
    <row r="21">
      <c r="A21" s="198"/>
      <c r="B21" s="210">
        <v>19.0</v>
      </c>
      <c r="C21" s="205"/>
      <c r="D21" s="205"/>
      <c r="E21" s="205"/>
      <c r="F21" s="205"/>
      <c r="G21" s="200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</row>
    <row r="22">
      <c r="A22" s="198"/>
      <c r="B22" s="210">
        <v>20.0</v>
      </c>
      <c r="C22" s="205"/>
      <c r="D22" s="205"/>
      <c r="E22" s="205"/>
      <c r="F22" s="205"/>
      <c r="G22" s="200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</row>
    <row r="23">
      <c r="A23" s="198"/>
      <c r="B23" s="210">
        <v>21.0</v>
      </c>
      <c r="C23" s="205"/>
      <c r="D23" s="205"/>
      <c r="E23" s="205"/>
      <c r="F23" s="205"/>
      <c r="G23" s="200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</row>
    <row r="24">
      <c r="A24" s="198"/>
      <c r="B24" s="210">
        <v>22.0</v>
      </c>
      <c r="C24" s="205"/>
      <c r="D24" s="205"/>
      <c r="E24" s="205"/>
      <c r="F24" s="205"/>
      <c r="G24" s="200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</row>
    <row r="25">
      <c r="A25" s="198"/>
      <c r="B25" s="210">
        <v>23.0</v>
      </c>
      <c r="C25" s="205"/>
      <c r="D25" s="205"/>
      <c r="E25" s="205"/>
      <c r="F25" s="205"/>
      <c r="G25" s="200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</row>
    <row r="26">
      <c r="A26" s="198"/>
      <c r="B26" s="210">
        <v>24.0</v>
      </c>
      <c r="C26" s="205"/>
      <c r="D26" s="205"/>
      <c r="E26" s="205"/>
      <c r="F26" s="205"/>
      <c r="G26" s="200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</row>
    <row r="27">
      <c r="A27" s="198"/>
      <c r="B27" s="210">
        <v>25.0</v>
      </c>
      <c r="C27" s="205"/>
      <c r="D27" s="205"/>
      <c r="E27" s="205"/>
      <c r="F27" s="205"/>
      <c r="G27" s="200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</row>
    <row r="28">
      <c r="A28" s="198"/>
      <c r="B28" s="210">
        <v>26.0</v>
      </c>
      <c r="C28" s="205"/>
      <c r="D28" s="205"/>
      <c r="E28" s="205"/>
      <c r="F28" s="205"/>
      <c r="G28" s="200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</row>
    <row r="29">
      <c r="A29" s="198"/>
      <c r="B29" s="210">
        <v>27.0</v>
      </c>
      <c r="C29" s="205"/>
      <c r="D29" s="205"/>
      <c r="E29" s="205"/>
      <c r="F29" s="205"/>
      <c r="G29" s="200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</row>
    <row r="30">
      <c r="A30" s="198"/>
      <c r="B30" s="210">
        <v>28.0</v>
      </c>
      <c r="C30" s="205"/>
      <c r="D30" s="205"/>
      <c r="E30" s="205"/>
      <c r="F30" s="205"/>
      <c r="G30" s="200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</row>
    <row r="31">
      <c r="A31" s="198"/>
      <c r="B31" s="210">
        <v>29.0</v>
      </c>
      <c r="C31" s="205"/>
      <c r="D31" s="205"/>
      <c r="E31" s="205"/>
      <c r="F31" s="205"/>
      <c r="G31" s="200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</row>
    <row r="32">
      <c r="A32" s="198"/>
      <c r="B32" s="210">
        <v>30.0</v>
      </c>
      <c r="C32" s="205"/>
      <c r="D32" s="205"/>
      <c r="E32" s="205"/>
      <c r="F32" s="205"/>
      <c r="G32" s="200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</row>
    <row r="33">
      <c r="A33" s="198"/>
      <c r="B33" s="210">
        <v>31.0</v>
      </c>
      <c r="C33" s="205"/>
      <c r="D33" s="205"/>
      <c r="E33" s="205"/>
      <c r="F33" s="205"/>
      <c r="G33" s="200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</row>
    <row r="34">
      <c r="A34" s="198"/>
      <c r="B34" s="210">
        <v>32.0</v>
      </c>
      <c r="C34" s="205"/>
      <c r="D34" s="205"/>
      <c r="E34" s="205"/>
      <c r="F34" s="205"/>
      <c r="G34" s="200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</row>
    <row r="35">
      <c r="A35" s="198"/>
      <c r="B35" s="210">
        <v>33.0</v>
      </c>
      <c r="C35" s="205"/>
      <c r="D35" s="205"/>
      <c r="E35" s="205"/>
      <c r="F35" s="205"/>
      <c r="G35" s="207"/>
      <c r="H35" s="5"/>
      <c r="I35" s="5"/>
      <c r="J35" s="5"/>
      <c r="K35" s="5"/>
      <c r="L35" s="5"/>
      <c r="M35" s="6"/>
      <c r="N35" s="194"/>
      <c r="O35" s="194"/>
      <c r="P35" s="194"/>
      <c r="Q35" s="194"/>
      <c r="R35" s="194"/>
      <c r="S35" s="194"/>
      <c r="T35" s="194"/>
      <c r="U35" s="194"/>
    </row>
    <row r="36">
      <c r="A36" s="198"/>
      <c r="B36" s="210">
        <v>34.0</v>
      </c>
      <c r="C36" s="205"/>
      <c r="D36" s="205"/>
      <c r="E36" s="205"/>
      <c r="F36" s="205"/>
      <c r="M36" s="14"/>
      <c r="N36" s="194"/>
      <c r="O36" s="194"/>
      <c r="P36" s="194"/>
      <c r="Q36" s="194"/>
      <c r="R36" s="194"/>
      <c r="S36" s="194"/>
      <c r="T36" s="194"/>
      <c r="U36" s="194"/>
    </row>
    <row r="37">
      <c r="A37" s="198"/>
      <c r="B37" s="210">
        <v>35.0</v>
      </c>
      <c r="C37" s="205"/>
      <c r="D37" s="205"/>
      <c r="E37" s="205"/>
      <c r="F37" s="205"/>
      <c r="M37" s="14"/>
      <c r="N37" s="194"/>
      <c r="O37" s="194"/>
      <c r="P37" s="194"/>
      <c r="Q37" s="194"/>
      <c r="R37" s="194"/>
      <c r="S37" s="194"/>
      <c r="T37" s="194"/>
      <c r="U37" s="194"/>
    </row>
    <row r="38">
      <c r="A38" s="198"/>
      <c r="B38" s="210">
        <v>36.0</v>
      </c>
      <c r="C38" s="205"/>
      <c r="D38" s="205"/>
      <c r="E38" s="205"/>
      <c r="F38" s="205"/>
      <c r="M38" s="14"/>
      <c r="N38" s="194"/>
      <c r="O38" s="194"/>
      <c r="P38" s="194"/>
      <c r="Q38" s="194"/>
      <c r="R38" s="194"/>
      <c r="S38" s="194"/>
      <c r="T38" s="194"/>
      <c r="U38" s="194"/>
    </row>
    <row r="39">
      <c r="A39" s="198"/>
      <c r="B39" s="210">
        <v>37.0</v>
      </c>
      <c r="C39" s="205"/>
      <c r="D39" s="205"/>
      <c r="E39" s="205"/>
      <c r="F39" s="205"/>
      <c r="M39" s="14"/>
      <c r="N39" s="194"/>
      <c r="O39" s="194"/>
      <c r="P39" s="194"/>
      <c r="Q39" s="194"/>
      <c r="R39" s="194"/>
      <c r="S39" s="194"/>
      <c r="T39" s="194"/>
      <c r="U39" s="194"/>
    </row>
    <row r="40">
      <c r="A40" s="198"/>
      <c r="B40" s="210">
        <v>38.0</v>
      </c>
      <c r="C40" s="205"/>
      <c r="D40" s="205"/>
      <c r="E40" s="205"/>
      <c r="F40" s="205"/>
      <c r="M40" s="14"/>
      <c r="N40" s="194"/>
      <c r="O40" s="194"/>
      <c r="P40" s="194"/>
      <c r="Q40" s="194"/>
      <c r="R40" s="194"/>
      <c r="S40" s="194"/>
      <c r="T40" s="194"/>
      <c r="U40" s="194"/>
    </row>
    <row r="41">
      <c r="A41" s="198"/>
      <c r="B41" s="210">
        <v>39.0</v>
      </c>
      <c r="C41" s="205"/>
      <c r="D41" s="205"/>
      <c r="E41" s="205"/>
      <c r="F41" s="205"/>
      <c r="M41" s="14"/>
      <c r="N41" s="194"/>
      <c r="O41" s="194"/>
      <c r="P41" s="194"/>
      <c r="Q41" s="194"/>
      <c r="R41" s="194"/>
      <c r="S41" s="194"/>
      <c r="T41" s="194"/>
      <c r="U41" s="194"/>
    </row>
    <row r="42">
      <c r="A42" s="198"/>
      <c r="B42" s="210">
        <v>40.0</v>
      </c>
      <c r="C42" s="205"/>
      <c r="D42" s="205"/>
      <c r="E42" s="205"/>
      <c r="F42" s="205"/>
      <c r="M42" s="14"/>
      <c r="N42" s="194"/>
      <c r="O42" s="194"/>
      <c r="P42" s="194"/>
      <c r="Q42" s="194"/>
      <c r="R42" s="194"/>
      <c r="S42" s="194"/>
      <c r="T42" s="194"/>
      <c r="U42" s="194"/>
    </row>
    <row r="43">
      <c r="A43" s="198"/>
      <c r="B43" s="210">
        <v>41.0</v>
      </c>
      <c r="C43" s="205"/>
      <c r="D43" s="205"/>
      <c r="E43" s="205"/>
      <c r="F43" s="205"/>
      <c r="M43" s="14"/>
      <c r="N43" s="194"/>
      <c r="O43" s="194"/>
      <c r="P43" s="194"/>
      <c r="Q43" s="194"/>
      <c r="R43" s="194"/>
      <c r="S43" s="194"/>
      <c r="T43" s="194"/>
      <c r="U43" s="194"/>
    </row>
    <row r="44">
      <c r="A44" s="198"/>
      <c r="B44" s="210">
        <v>42.0</v>
      </c>
      <c r="C44" s="205"/>
      <c r="D44" s="205"/>
      <c r="E44" s="205"/>
      <c r="F44" s="205"/>
      <c r="M44" s="14"/>
      <c r="N44" s="194"/>
      <c r="O44" s="194"/>
      <c r="P44" s="194"/>
      <c r="Q44" s="194"/>
      <c r="R44" s="194"/>
      <c r="S44" s="194"/>
      <c r="T44" s="194"/>
      <c r="U44" s="194"/>
    </row>
    <row r="45">
      <c r="A45" s="198"/>
      <c r="B45" s="210">
        <v>43.0</v>
      </c>
      <c r="C45" s="205"/>
      <c r="D45" s="205"/>
      <c r="E45" s="205"/>
      <c r="F45" s="205"/>
      <c r="G45" s="22"/>
      <c r="H45" s="22"/>
      <c r="I45" s="22"/>
      <c r="J45" s="22"/>
      <c r="K45" s="22"/>
      <c r="L45" s="22"/>
      <c r="M45" s="23"/>
      <c r="N45" s="194"/>
      <c r="O45" s="194"/>
      <c r="P45" s="194"/>
      <c r="Q45" s="194"/>
      <c r="R45" s="194"/>
      <c r="S45" s="194"/>
      <c r="T45" s="194"/>
      <c r="U45" s="194"/>
    </row>
    <row r="46">
      <c r="A46" s="198"/>
      <c r="B46" s="210">
        <v>44.0</v>
      </c>
      <c r="C46" s="205"/>
      <c r="D46" s="205"/>
      <c r="E46" s="205"/>
      <c r="F46" s="205"/>
      <c r="G46" s="200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</row>
    <row r="47">
      <c r="A47" s="198"/>
      <c r="B47" s="210">
        <v>45.0</v>
      </c>
      <c r="C47" s="205"/>
      <c r="D47" s="205"/>
      <c r="E47" s="205"/>
      <c r="F47" s="205"/>
      <c r="G47" s="200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</row>
    <row r="48">
      <c r="A48" s="198"/>
      <c r="B48" s="210">
        <v>46.0</v>
      </c>
      <c r="C48" s="205"/>
      <c r="D48" s="205"/>
      <c r="E48" s="205"/>
      <c r="F48" s="205"/>
      <c r="G48" s="200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</row>
    <row r="49">
      <c r="A49" s="198"/>
      <c r="B49" s="210">
        <v>47.0</v>
      </c>
      <c r="C49" s="205"/>
      <c r="D49" s="205"/>
      <c r="E49" s="205"/>
      <c r="F49" s="205"/>
      <c r="G49" s="200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</row>
    <row r="50">
      <c r="A50" s="198"/>
      <c r="B50" s="210">
        <v>48.0</v>
      </c>
      <c r="C50" s="205"/>
      <c r="D50" s="205"/>
      <c r="E50" s="205"/>
      <c r="F50" s="205"/>
      <c r="G50" s="200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</row>
    <row r="51">
      <c r="A51" s="198"/>
      <c r="B51" s="210">
        <v>49.0</v>
      </c>
      <c r="C51" s="205"/>
      <c r="D51" s="205"/>
      <c r="E51" s="205"/>
      <c r="F51" s="205"/>
      <c r="G51" s="200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</row>
    <row r="52">
      <c r="A52" s="198"/>
      <c r="B52" s="210">
        <v>50.0</v>
      </c>
      <c r="C52" s="205"/>
      <c r="D52" s="205"/>
      <c r="E52" s="205"/>
      <c r="F52" s="205"/>
      <c r="G52" s="200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</row>
    <row r="53">
      <c r="A53" s="198"/>
      <c r="B53" s="210">
        <v>51.0</v>
      </c>
      <c r="C53" s="205"/>
      <c r="D53" s="205"/>
      <c r="E53" s="205"/>
      <c r="F53" s="205"/>
      <c r="G53" s="200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</row>
    <row r="54">
      <c r="A54" s="198"/>
      <c r="B54" s="212">
        <v>52.0</v>
      </c>
      <c r="C54" s="206"/>
      <c r="D54" s="206"/>
      <c r="E54" s="206"/>
      <c r="F54" s="206"/>
      <c r="G54" s="200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</row>
    <row r="55" ht="33.75" customHeight="1">
      <c r="A55" s="194"/>
      <c r="B55" s="193" t="s">
        <v>464</v>
      </c>
      <c r="C55" s="22"/>
      <c r="D55" s="22"/>
      <c r="E55" s="22"/>
      <c r="F55" s="23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</row>
  </sheetData>
  <mergeCells count="3">
    <mergeCell ref="Q2:U7"/>
    <mergeCell ref="G35:M45"/>
    <mergeCell ref="B55:F5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88"/>
    <col customWidth="1" min="3" max="3" width="37.63"/>
    <col customWidth="1" min="4" max="5" width="10.13"/>
    <col customWidth="1" min="6" max="9" width="3.25"/>
    <col customWidth="1" min="10" max="10" width="10.75"/>
    <col customWidth="1" min="11" max="11" width="50.13"/>
    <col customWidth="1" min="13" max="13" width="7.63"/>
  </cols>
  <sheetData>
    <row r="1" ht="11.25" customHeight="1">
      <c r="A1" s="97"/>
      <c r="B1" s="213" t="s">
        <v>0</v>
      </c>
      <c r="C1" s="6"/>
      <c r="D1" s="97"/>
      <c r="E1" s="97"/>
      <c r="F1" s="97"/>
      <c r="G1" s="97"/>
      <c r="H1" s="97"/>
      <c r="I1" s="97"/>
      <c r="J1" s="97"/>
      <c r="K1" s="142"/>
      <c r="L1" s="97"/>
      <c r="M1" s="97"/>
    </row>
    <row r="2" ht="11.25" customHeight="1">
      <c r="A2" s="97"/>
      <c r="B2" s="13"/>
      <c r="C2" s="14"/>
      <c r="D2" s="102"/>
      <c r="E2" s="102"/>
      <c r="F2" s="102"/>
      <c r="G2" s="102"/>
      <c r="H2" s="102"/>
      <c r="I2" s="102"/>
      <c r="J2" s="102"/>
      <c r="K2" s="142"/>
      <c r="L2" s="97"/>
      <c r="M2" s="97"/>
    </row>
    <row r="3" ht="22.5" customHeight="1">
      <c r="A3" s="97"/>
      <c r="B3" s="13"/>
      <c r="C3" s="14"/>
      <c r="D3" s="9" t="s">
        <v>2</v>
      </c>
      <c r="E3" s="11"/>
      <c r="F3" s="106"/>
      <c r="G3" s="10"/>
      <c r="H3" s="10"/>
      <c r="I3" s="10"/>
      <c r="J3" s="11"/>
      <c r="K3" s="214"/>
      <c r="L3" s="97"/>
      <c r="M3" s="97"/>
    </row>
    <row r="4" ht="22.5" customHeight="1">
      <c r="A4" s="97"/>
      <c r="B4" s="13"/>
      <c r="C4" s="14"/>
      <c r="D4" s="9" t="s">
        <v>14</v>
      </c>
      <c r="E4" s="11"/>
      <c r="F4" s="215"/>
      <c r="G4" s="10"/>
      <c r="H4" s="10"/>
      <c r="I4" s="10"/>
      <c r="J4" s="11"/>
      <c r="K4" s="14"/>
      <c r="L4" s="97"/>
      <c r="M4" s="97"/>
    </row>
    <row r="5" ht="21.75" customHeight="1">
      <c r="A5" s="97"/>
      <c r="B5" s="13"/>
      <c r="C5" s="14"/>
      <c r="D5" s="216" t="s">
        <v>542</v>
      </c>
      <c r="E5" s="11"/>
      <c r="F5" s="149" t="str">
        <f>IF(ISBLANK(F4),"",ROUNDUP((TODAY()-F4)/7,0))</f>
        <v/>
      </c>
      <c r="G5" s="10"/>
      <c r="H5" s="10"/>
      <c r="I5" s="10"/>
      <c r="J5" s="11"/>
      <c r="K5" s="23"/>
      <c r="L5" s="97"/>
      <c r="M5" s="97"/>
    </row>
    <row r="6" ht="21.75" customHeight="1">
      <c r="A6" s="97"/>
      <c r="B6" s="21"/>
      <c r="C6" s="23"/>
      <c r="D6" s="102"/>
      <c r="E6" s="102"/>
      <c r="F6" s="102"/>
      <c r="G6" s="102"/>
      <c r="H6" s="102"/>
      <c r="I6" s="102"/>
      <c r="J6" s="102"/>
      <c r="K6" s="217"/>
      <c r="L6" s="102"/>
      <c r="M6" s="97"/>
    </row>
    <row r="7" ht="22.5" customHeight="1">
      <c r="A7" s="104"/>
      <c r="B7" s="218" t="s">
        <v>543</v>
      </c>
      <c r="C7" s="10"/>
      <c r="D7" s="10"/>
      <c r="E7" s="10"/>
      <c r="F7" s="10"/>
      <c r="G7" s="10"/>
      <c r="H7" s="10"/>
      <c r="I7" s="10"/>
      <c r="J7" s="10"/>
      <c r="K7" s="10"/>
      <c r="L7" s="11"/>
      <c r="M7" s="141"/>
    </row>
    <row r="8" ht="22.5" customHeight="1">
      <c r="A8" s="104"/>
      <c r="B8" s="105" t="s">
        <v>544</v>
      </c>
      <c r="C8" s="105" t="s">
        <v>545</v>
      </c>
      <c r="D8" s="105" t="s">
        <v>546</v>
      </c>
      <c r="E8" s="105" t="s">
        <v>547</v>
      </c>
      <c r="F8" s="9" t="s">
        <v>548</v>
      </c>
      <c r="G8" s="10"/>
      <c r="H8" s="10"/>
      <c r="I8" s="11"/>
      <c r="J8" s="105" t="s">
        <v>549</v>
      </c>
      <c r="K8" s="105" t="s">
        <v>550</v>
      </c>
      <c r="L8" s="105" t="s">
        <v>551</v>
      </c>
      <c r="M8" s="141"/>
    </row>
    <row r="9">
      <c r="A9" s="104"/>
      <c r="B9" s="219"/>
      <c r="C9" s="219" t="s">
        <v>552</v>
      </c>
      <c r="D9" s="219">
        <v>2.0</v>
      </c>
      <c r="E9" s="220">
        <v>45881.0</v>
      </c>
      <c r="F9" s="221">
        <v>3.0</v>
      </c>
      <c r="G9" s="222">
        <v>0.0</v>
      </c>
      <c r="H9" s="222">
        <v>1.0</v>
      </c>
      <c r="I9" s="223">
        <v>1.0</v>
      </c>
      <c r="J9" s="224"/>
      <c r="K9" s="225" t="str">
        <f>IF(ISBLANK(C9),"",IFERROR((VLOOKUP(C9,'Exercise List'!$C:$E,2,FALSE)),"")) &amp; " " &amp; ""</f>
        <v> </v>
      </c>
      <c r="L9" s="225" t="str">
        <f>IF(ISBLANK(C9),"",IF(ISBLANK(VLOOKUP(C9,'Exercise List'!$C:$E,3,FALSE)),"",IFERROR(HYPERLINK(VLOOKUP(C9,'Exercise List'!$C:$E,3,FALSE),"Link"),"")))</f>
        <v/>
      </c>
      <c r="M9" s="141"/>
    </row>
    <row r="10">
      <c r="A10" s="104"/>
      <c r="B10" s="226"/>
      <c r="C10" s="226" t="s">
        <v>553</v>
      </c>
      <c r="D10" s="226">
        <v>2.0</v>
      </c>
      <c r="E10" s="227">
        <v>45785.0</v>
      </c>
      <c r="F10" s="228">
        <v>3.0</v>
      </c>
      <c r="G10" s="229">
        <v>0.0</v>
      </c>
      <c r="H10" s="229">
        <v>1.0</v>
      </c>
      <c r="I10" s="230">
        <v>1.0</v>
      </c>
      <c r="J10" s="231"/>
      <c r="K10" s="232"/>
      <c r="L10" s="232"/>
      <c r="M10" s="141"/>
    </row>
    <row r="11">
      <c r="A11" s="104"/>
      <c r="B11" s="226"/>
      <c r="C11" s="226" t="s">
        <v>554</v>
      </c>
      <c r="D11" s="226">
        <v>2.0</v>
      </c>
      <c r="E11" s="226" t="s">
        <v>555</v>
      </c>
      <c r="F11" s="228">
        <v>3.0</v>
      </c>
      <c r="G11" s="229">
        <v>0.0</v>
      </c>
      <c r="H11" s="229">
        <v>1.0</v>
      </c>
      <c r="I11" s="230">
        <v>1.0</v>
      </c>
      <c r="J11" s="231"/>
      <c r="K11" s="232" t="str">
        <f>IF(ISBLANK(C11),"",IFERROR((VLOOKUP(C11,'Exercise List'!$C:$E,2,FALSE)),"")) &amp; " " &amp; ""</f>
        <v> </v>
      </c>
      <c r="L11" s="232" t="str">
        <f>IF(ISBLANK(C11),"",IF(ISBLANK(VLOOKUP(C11,'Exercise List'!$C:$E,3,FALSE)),"",IFERROR(HYPERLINK(VLOOKUP(C11,'Exercise List'!$C:$E,3,FALSE),"Link"),"")))</f>
        <v/>
      </c>
      <c r="M11" s="141"/>
    </row>
    <row r="12">
      <c r="A12" s="104"/>
      <c r="B12" s="226"/>
      <c r="C12" s="226" t="s">
        <v>556</v>
      </c>
      <c r="D12" s="226">
        <v>2.0</v>
      </c>
      <c r="E12" s="227">
        <v>45881.0</v>
      </c>
      <c r="F12" s="228">
        <v>3.0</v>
      </c>
      <c r="G12" s="229">
        <v>0.0</v>
      </c>
      <c r="H12" s="229">
        <v>1.0</v>
      </c>
      <c r="I12" s="230">
        <v>1.0</v>
      </c>
      <c r="J12" s="231"/>
      <c r="K12" s="232" t="str">
        <f>IF(ISBLANK(C12),"",IFERROR((VLOOKUP(C12,'Exercise List'!$C:$E,2,FALSE)),"")) &amp; " " &amp; ""</f>
        <v> </v>
      </c>
      <c r="L12" s="232" t="str">
        <f>IF(ISBLANK(C12),"",IF(ISBLANK(VLOOKUP(C12,'Exercise List'!$C:$E,3,FALSE)),"",IFERROR(HYPERLINK(VLOOKUP(C12,'Exercise List'!$C:$E,3,FALSE),"Link"),"")))</f>
        <v/>
      </c>
      <c r="M12" s="141"/>
    </row>
    <row r="13">
      <c r="A13" s="104"/>
      <c r="B13" s="226"/>
      <c r="C13" s="226" t="s">
        <v>557</v>
      </c>
      <c r="D13" s="226">
        <v>2.0</v>
      </c>
      <c r="E13" s="227">
        <v>45881.0</v>
      </c>
      <c r="F13" s="228">
        <v>3.0</v>
      </c>
      <c r="G13" s="229">
        <v>0.0</v>
      </c>
      <c r="H13" s="229">
        <v>1.0</v>
      </c>
      <c r="I13" s="230">
        <v>1.0</v>
      </c>
      <c r="J13" s="231"/>
      <c r="K13" s="232" t="str">
        <f>IF(ISBLANK(C13),"",IFERROR((VLOOKUP(C13,'Exercise List'!$C:$E,2,FALSE)),"")) &amp; " " &amp; ""</f>
        <v> </v>
      </c>
      <c r="L13" s="232" t="str">
        <f>IF(ISBLANK(C13),"",IF(ISBLANK(VLOOKUP(C13,'Exercise List'!$C:$E,3,FALSE)),"",IFERROR(HYPERLINK(VLOOKUP(C13,'Exercise List'!$C:$E,3,FALSE),"Link"),"")))</f>
        <v/>
      </c>
      <c r="M13" s="141"/>
    </row>
    <row r="14">
      <c r="A14" s="104"/>
      <c r="B14" s="226"/>
      <c r="C14" s="226" t="s">
        <v>558</v>
      </c>
      <c r="D14" s="226">
        <v>2.0</v>
      </c>
      <c r="E14" s="227">
        <v>45881.0</v>
      </c>
      <c r="F14" s="228">
        <v>3.0</v>
      </c>
      <c r="G14" s="229">
        <v>0.0</v>
      </c>
      <c r="H14" s="229">
        <v>1.0</v>
      </c>
      <c r="I14" s="230">
        <v>1.0</v>
      </c>
      <c r="J14" s="231"/>
      <c r="K14" s="232" t="str">
        <f>IF(ISBLANK(C14),"",IFERROR((VLOOKUP(C14,'Exercise List'!$C:$E,2,FALSE)),"")) &amp; " " &amp; ""</f>
        <v> </v>
      </c>
      <c r="L14" s="232" t="str">
        <f>IF(ISBLANK(C14),"",IF(ISBLANK(VLOOKUP(C14,'Exercise List'!$C:$E,3,FALSE)),"",IFERROR(HYPERLINK(VLOOKUP(C14,'Exercise List'!$C:$E,3,FALSE),"Link"),"")))</f>
        <v/>
      </c>
      <c r="M14" s="141"/>
    </row>
    <row r="15">
      <c r="A15" s="104"/>
      <c r="B15" s="226"/>
      <c r="C15" s="226"/>
      <c r="D15" s="226"/>
      <c r="E15" s="226"/>
      <c r="F15" s="228"/>
      <c r="G15" s="229"/>
      <c r="H15" s="229"/>
      <c r="I15" s="230"/>
      <c r="J15" s="231"/>
      <c r="K15" s="232" t="str">
        <f>IF(ISBLANK(C15),"",IFERROR((VLOOKUP(C15,'Exercise List'!$C:$E,2,FALSE)),"")) &amp; " " &amp; ""</f>
        <v> </v>
      </c>
      <c r="L15" s="232" t="str">
        <f>IF(ISBLANK(C15),"",IF(ISBLANK(VLOOKUP(C15,'Exercise List'!$C:$E,3,FALSE)),"",IFERROR(HYPERLINK(VLOOKUP(C15,'Exercise List'!$C:$E,3,FALSE),"Link"),"")))</f>
        <v/>
      </c>
      <c r="M15" s="141"/>
    </row>
    <row r="16">
      <c r="A16" s="104"/>
      <c r="B16" s="232"/>
      <c r="C16" s="232"/>
      <c r="D16" s="232"/>
      <c r="E16" s="232"/>
      <c r="F16" s="228"/>
      <c r="G16" s="229"/>
      <c r="H16" s="229"/>
      <c r="I16" s="230"/>
      <c r="J16" s="231"/>
      <c r="K16" s="232" t="str">
        <f>IF(ISBLANK(C16),"",IFERROR((VLOOKUP(C16,'Exercise List'!$C:$E,2,FALSE)),"")) &amp; " " &amp; ""</f>
        <v> </v>
      </c>
      <c r="L16" s="232" t="str">
        <f>IF(ISBLANK(C16),"",IF(ISBLANK(VLOOKUP(C16,'Exercise List'!$C:$E,3,FALSE)),"",IFERROR(HYPERLINK(VLOOKUP(C16,'Exercise List'!$C:$E,3,FALSE),"Link"),"")))</f>
        <v/>
      </c>
      <c r="M16" s="141"/>
    </row>
    <row r="17">
      <c r="A17" s="104"/>
      <c r="B17" s="232"/>
      <c r="C17" s="232"/>
      <c r="D17" s="232"/>
      <c r="E17" s="232"/>
      <c r="F17" s="233"/>
      <c r="G17" s="234"/>
      <c r="H17" s="234"/>
      <c r="I17" s="235"/>
      <c r="J17" s="231"/>
      <c r="K17" s="232" t="str">
        <f>IF(ISBLANK(C17),"",IFERROR((VLOOKUP(C17,'Exercise List'!$C:$E,2,FALSE)),"")) &amp; " " &amp; ""</f>
        <v> </v>
      </c>
      <c r="L17" s="232" t="str">
        <f>IF(ISBLANK(C17),"",IF(ISBLANK(VLOOKUP(C17,'Exercise List'!$C:$E,3,FALSE)),"",IFERROR(HYPERLINK(VLOOKUP(C17,'Exercise List'!$C:$E,3,FALSE),"Link"),"")))</f>
        <v/>
      </c>
      <c r="M17" s="141"/>
    </row>
    <row r="18">
      <c r="A18" s="104"/>
      <c r="B18" s="232"/>
      <c r="C18" s="232"/>
      <c r="D18" s="232"/>
      <c r="E18" s="232"/>
      <c r="F18" s="233"/>
      <c r="G18" s="234"/>
      <c r="H18" s="234"/>
      <c r="I18" s="235"/>
      <c r="J18" s="231"/>
      <c r="K18" s="232" t="str">
        <f>IF(ISBLANK(C18),"",IFERROR((VLOOKUP(C18,'Exercise List'!$C:$E,2,FALSE)),"")) &amp; " " &amp; ""</f>
        <v> </v>
      </c>
      <c r="L18" s="232" t="str">
        <f>IF(ISBLANK(C18),"",IF(ISBLANK(VLOOKUP(C18,'Exercise List'!$C:$E,3,FALSE)),"",IFERROR(HYPERLINK(VLOOKUP(C18,'Exercise List'!$C:$E,3,FALSE),"Link"),"")))</f>
        <v/>
      </c>
      <c r="M18" s="141"/>
    </row>
    <row r="19">
      <c r="A19" s="104"/>
      <c r="B19" s="232"/>
      <c r="C19" s="232"/>
      <c r="D19" s="232"/>
      <c r="E19" s="232"/>
      <c r="F19" s="233"/>
      <c r="G19" s="234"/>
      <c r="H19" s="234"/>
      <c r="I19" s="235"/>
      <c r="J19" s="231"/>
      <c r="K19" s="232" t="str">
        <f>IF(ISBLANK(C19),"",IFERROR((VLOOKUP(C19,'Exercise List'!$C:$E,2,FALSE)),"")) &amp; " " &amp; ""</f>
        <v> </v>
      </c>
      <c r="L19" s="232" t="str">
        <f>IF(ISBLANK(C19),"",IF(ISBLANK(VLOOKUP(C19,'Exercise List'!$C:$E,3,FALSE)),"",IFERROR(HYPERLINK(VLOOKUP(C19,'Exercise List'!$C:$E,3,FALSE),"Link"),"")))</f>
        <v/>
      </c>
      <c r="M19" s="141"/>
    </row>
    <row r="20">
      <c r="A20" s="104"/>
      <c r="B20" s="232"/>
      <c r="C20" s="232"/>
      <c r="D20" s="232"/>
      <c r="E20" s="232"/>
      <c r="F20" s="233"/>
      <c r="G20" s="234"/>
      <c r="H20" s="234"/>
      <c r="I20" s="235"/>
      <c r="J20" s="231"/>
      <c r="K20" s="232" t="str">
        <f>IF(ISBLANK(C20),"",IFERROR((VLOOKUP(C20,'Exercise List'!$C:$E,2,FALSE)),"")) &amp; " " &amp; ""</f>
        <v> </v>
      </c>
      <c r="L20" s="232" t="str">
        <f>IF(ISBLANK(C20),"",IF(ISBLANK(VLOOKUP(C20,'Exercise List'!$C:$E,3,FALSE)),"",IFERROR(HYPERLINK(VLOOKUP(C20,'Exercise List'!$C:$E,3,FALSE),"Link"),"")))</f>
        <v/>
      </c>
      <c r="M20" s="141"/>
    </row>
    <row r="21">
      <c r="A21" s="104"/>
      <c r="B21" s="232"/>
      <c r="C21" s="232"/>
      <c r="D21" s="232"/>
      <c r="E21" s="232"/>
      <c r="F21" s="233"/>
      <c r="G21" s="234"/>
      <c r="H21" s="234"/>
      <c r="I21" s="235"/>
      <c r="J21" s="231"/>
      <c r="K21" s="232" t="str">
        <f>IF(ISBLANK(C21),"",IFERROR((VLOOKUP(C21,'Exercise List'!$C:$E,2,FALSE)),"")) &amp; " " &amp; ""</f>
        <v> </v>
      </c>
      <c r="L21" s="232" t="str">
        <f>IF(ISBLANK(C21),"",IF(ISBLANK(VLOOKUP(C21,'Exercise List'!$C:$E,3,FALSE)),"",IFERROR(HYPERLINK(VLOOKUP(C21,'Exercise List'!$C:$E,3,FALSE),"Link"),"")))</f>
        <v/>
      </c>
      <c r="M21" s="141"/>
    </row>
    <row r="22">
      <c r="A22" s="104"/>
      <c r="B22" s="232"/>
      <c r="C22" s="226"/>
      <c r="D22" s="232"/>
      <c r="E22" s="232"/>
      <c r="F22" s="233"/>
      <c r="G22" s="234"/>
      <c r="H22" s="234"/>
      <c r="I22" s="235"/>
      <c r="J22" s="231"/>
      <c r="K22" s="232" t="str">
        <f>IF(ISBLANK(C22),"",IFERROR((VLOOKUP(C22,'Exercise List'!$C:$E,2,FALSE)),"")) &amp; " " &amp; ""</f>
        <v> </v>
      </c>
      <c r="L22" s="232" t="str">
        <f>IF(ISBLANK(C22),"",IF(ISBLANK(VLOOKUP(C22,'Exercise List'!$C:$E,3,FALSE)),"",IFERROR(HYPERLINK(VLOOKUP(C22,'Exercise List'!$C:$E,3,FALSE),"Link"),"")))</f>
        <v/>
      </c>
      <c r="M22" s="141"/>
    </row>
    <row r="23">
      <c r="A23" s="104"/>
      <c r="B23" s="236"/>
      <c r="C23" s="236"/>
      <c r="D23" s="237"/>
      <c r="E23" s="237"/>
      <c r="F23" s="238"/>
      <c r="G23" s="239"/>
      <c r="H23" s="239"/>
      <c r="I23" s="240"/>
      <c r="J23" s="241"/>
      <c r="K23" s="237" t="str">
        <f>IF(ISBLANK(C23),"",IFERROR((VLOOKUP(C23,'Exercise List'!$C:$E,2,FALSE)),"")) &amp; " " &amp; ""</f>
        <v> </v>
      </c>
      <c r="L23" s="237" t="str">
        <f>IF(ISBLANK(C23),"",IF(ISBLANK(VLOOKUP(C23,'Exercise List'!$C:$E,3,FALSE)),"",IFERROR(HYPERLINK(VLOOKUP(C23,'Exercise List'!$C:$E,3,FALSE),"Link"),"")))</f>
        <v/>
      </c>
      <c r="M23" s="141"/>
    </row>
    <row r="24">
      <c r="A24" s="97"/>
      <c r="B24" s="242"/>
      <c r="C24" s="242"/>
      <c r="D24" s="242"/>
      <c r="E24" s="242"/>
      <c r="F24" s="242"/>
      <c r="G24" s="242"/>
      <c r="H24" s="242"/>
      <c r="I24" s="242"/>
      <c r="J24" s="242"/>
      <c r="K24" s="243"/>
      <c r="L24" s="242"/>
      <c r="M24" s="97"/>
    </row>
    <row r="25" ht="22.5" customHeight="1">
      <c r="A25" s="104"/>
      <c r="B25" s="218" t="s">
        <v>559</v>
      </c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41"/>
    </row>
    <row r="26" ht="22.5" customHeight="1">
      <c r="A26" s="97"/>
      <c r="B26" s="105" t="s">
        <v>544</v>
      </c>
      <c r="C26" s="105" t="s">
        <v>545</v>
      </c>
      <c r="D26" s="105" t="s">
        <v>546</v>
      </c>
      <c r="E26" s="105" t="s">
        <v>547</v>
      </c>
      <c r="F26" s="9" t="s">
        <v>548</v>
      </c>
      <c r="G26" s="10"/>
      <c r="H26" s="10"/>
      <c r="I26" s="11"/>
      <c r="J26" s="105" t="s">
        <v>549</v>
      </c>
      <c r="K26" s="105" t="s">
        <v>550</v>
      </c>
      <c r="L26" s="105" t="s">
        <v>551</v>
      </c>
      <c r="M26" s="97"/>
    </row>
    <row r="27">
      <c r="A27" s="97"/>
      <c r="B27" s="219"/>
      <c r="C27" s="219" t="s">
        <v>560</v>
      </c>
      <c r="D27" s="219">
        <v>2.0</v>
      </c>
      <c r="E27" s="219" t="s">
        <v>555</v>
      </c>
      <c r="F27" s="221">
        <v>3.0</v>
      </c>
      <c r="G27" s="222">
        <v>0.0</v>
      </c>
      <c r="H27" s="222">
        <v>1.0</v>
      </c>
      <c r="I27" s="223">
        <v>1.0</v>
      </c>
      <c r="J27" s="224"/>
      <c r="K27" s="225" t="str">
        <f>IF(ISBLANK(C27),"",IFERROR((VLOOKUP(C27,'Exercise List'!$C:$E,2,FALSE)),"")) &amp; " " &amp; ""</f>
        <v> </v>
      </c>
      <c r="L27" s="225" t="str">
        <f>IF(ISBLANK(C27),"",IF(ISBLANK(VLOOKUP(C27,'Exercise List'!$C:$E,3,FALSE)),"",IFERROR(HYPERLINK(VLOOKUP(C27,'Exercise List'!$C:$E,3,FALSE),"Link"),"")))</f>
        <v/>
      </c>
      <c r="M27" s="97"/>
    </row>
    <row r="28">
      <c r="A28" s="97"/>
      <c r="B28" s="226"/>
      <c r="C28" s="226" t="s">
        <v>561</v>
      </c>
      <c r="D28" s="226">
        <v>2.0</v>
      </c>
      <c r="E28" s="226" t="s">
        <v>555</v>
      </c>
      <c r="F28" s="228">
        <v>3.0</v>
      </c>
      <c r="G28" s="229">
        <v>0.0</v>
      </c>
      <c r="H28" s="229">
        <v>1.0</v>
      </c>
      <c r="I28" s="230">
        <v>1.0</v>
      </c>
      <c r="J28" s="231"/>
      <c r="K28" s="232" t="str">
        <f>IF(ISBLANK(C28),"",IFERROR((VLOOKUP(C28,'Exercise List'!$C:$E,2,FALSE)),"")) &amp; " " &amp; ""</f>
        <v> </v>
      </c>
      <c r="L28" s="232" t="str">
        <f>IF(ISBLANK(C28),"",IF(ISBLANK(VLOOKUP(C28,'Exercise List'!$C:$E,3,FALSE)),"",IFERROR(HYPERLINK(VLOOKUP(C28,'Exercise List'!$C:$E,3,FALSE),"Link"),"")))</f>
        <v/>
      </c>
      <c r="M28" s="97"/>
    </row>
    <row r="29">
      <c r="A29" s="97"/>
      <c r="B29" s="226"/>
      <c r="C29" s="226" t="s">
        <v>562</v>
      </c>
      <c r="D29" s="226">
        <v>2.0</v>
      </c>
      <c r="E29" s="226" t="s">
        <v>555</v>
      </c>
      <c r="F29" s="228">
        <v>3.0</v>
      </c>
      <c r="G29" s="229">
        <v>0.0</v>
      </c>
      <c r="H29" s="229">
        <v>1.0</v>
      </c>
      <c r="I29" s="230">
        <v>1.0</v>
      </c>
      <c r="J29" s="231"/>
      <c r="K29" s="232" t="str">
        <f>IF(ISBLANK(C29),"",IFERROR((VLOOKUP(C29,'Exercise List'!$C:$E,2,FALSE)),"")) &amp; " " &amp; ""</f>
        <v> </v>
      </c>
      <c r="L29" s="232" t="str">
        <f>IF(ISBLANK(C29),"",IF(ISBLANK(VLOOKUP(C29,'Exercise List'!$C:$E,3,FALSE)),"",IFERROR(HYPERLINK(VLOOKUP(C29,'Exercise List'!$C:$E,3,FALSE),"Link"),"")))</f>
        <v/>
      </c>
      <c r="M29" s="97"/>
    </row>
    <row r="30">
      <c r="A30" s="97"/>
      <c r="B30" s="226"/>
      <c r="C30" s="226" t="s">
        <v>563</v>
      </c>
      <c r="D30" s="226">
        <v>2.0</v>
      </c>
      <c r="E30" s="226" t="s">
        <v>555</v>
      </c>
      <c r="F30" s="228">
        <v>3.0</v>
      </c>
      <c r="G30" s="229">
        <v>0.0</v>
      </c>
      <c r="H30" s="229">
        <v>1.0</v>
      </c>
      <c r="I30" s="230">
        <v>1.0</v>
      </c>
      <c r="J30" s="231"/>
      <c r="K30" s="232" t="str">
        <f>IF(ISBLANK(C30),"",IFERROR((VLOOKUP(C30,'Exercise List'!$C:$E,2,FALSE)),"")) &amp; " " &amp; ""</f>
        <v> </v>
      </c>
      <c r="L30" s="232" t="str">
        <f>IF(ISBLANK(C30),"",IF(ISBLANK(VLOOKUP(C30,'Exercise List'!$C:$E,3,FALSE)),"",IFERROR(HYPERLINK(VLOOKUP(C30,'Exercise List'!$C:$E,3,FALSE),"Link"),"")))</f>
        <v/>
      </c>
      <c r="M30" s="97"/>
    </row>
    <row r="31">
      <c r="A31" s="97"/>
      <c r="B31" s="226"/>
      <c r="C31" s="226" t="s">
        <v>564</v>
      </c>
      <c r="D31" s="226">
        <v>2.0</v>
      </c>
      <c r="E31" s="226" t="s">
        <v>555</v>
      </c>
      <c r="F31" s="228">
        <v>3.0</v>
      </c>
      <c r="G31" s="229">
        <v>0.0</v>
      </c>
      <c r="H31" s="229">
        <v>1.0</v>
      </c>
      <c r="I31" s="230">
        <v>1.0</v>
      </c>
      <c r="J31" s="231"/>
      <c r="K31" s="232" t="str">
        <f>IF(ISBLANK(C31),"",IFERROR((VLOOKUP(C31,'Exercise List'!$C:$E,2,FALSE)),"")) &amp; " " &amp; ""</f>
        <v> </v>
      </c>
      <c r="L31" s="232" t="str">
        <f>IF(ISBLANK(C31),"",IF(ISBLANK(VLOOKUP(C31,'Exercise List'!$C:$E,3,FALSE)),"",IFERROR(HYPERLINK(VLOOKUP(C31,'Exercise List'!$C:$E,3,FALSE),"Link"),"")))</f>
        <v/>
      </c>
      <c r="M31" s="97"/>
    </row>
    <row r="32">
      <c r="A32" s="97"/>
      <c r="B32" s="226"/>
      <c r="C32" s="226" t="s">
        <v>565</v>
      </c>
      <c r="D32" s="226">
        <v>2.0</v>
      </c>
      <c r="E32" s="226" t="s">
        <v>555</v>
      </c>
      <c r="F32" s="228">
        <v>3.0</v>
      </c>
      <c r="G32" s="229">
        <v>0.0</v>
      </c>
      <c r="H32" s="229">
        <v>1.0</v>
      </c>
      <c r="I32" s="230">
        <v>1.0</v>
      </c>
      <c r="J32" s="231"/>
      <c r="K32" s="232" t="str">
        <f>IF(ISBLANK(C32),"",IFERROR((VLOOKUP(C32,'Exercise List'!$C:$E,2,FALSE)),"")) &amp; " " &amp; ""</f>
        <v> </v>
      </c>
      <c r="L32" s="232" t="str">
        <f>IF(ISBLANK(C32),"",IF(ISBLANK(VLOOKUP(C32,'Exercise List'!$C:$E,3,FALSE)),"",IFERROR(HYPERLINK(VLOOKUP(C32,'Exercise List'!$C:$E,3,FALSE),"Link"),"")))</f>
        <v/>
      </c>
      <c r="M32" s="97"/>
    </row>
    <row r="33">
      <c r="A33" s="97"/>
      <c r="B33" s="226"/>
      <c r="C33" s="226" t="s">
        <v>566</v>
      </c>
      <c r="D33" s="226">
        <v>2.0</v>
      </c>
      <c r="E33" s="226" t="s">
        <v>555</v>
      </c>
      <c r="F33" s="228">
        <v>3.0</v>
      </c>
      <c r="G33" s="229">
        <v>0.0</v>
      </c>
      <c r="H33" s="229">
        <v>1.0</v>
      </c>
      <c r="I33" s="230">
        <v>1.0</v>
      </c>
      <c r="J33" s="231"/>
      <c r="K33" s="232" t="str">
        <f>IF(ISBLANK(C33),"",IFERROR((VLOOKUP(C33,'Exercise List'!$C:$E,2,FALSE)),"")) &amp; " " &amp; ""</f>
        <v> </v>
      </c>
      <c r="L33" s="232" t="str">
        <f>IF(ISBLANK(C33),"",IF(ISBLANK(VLOOKUP(C33,'Exercise List'!$C:$E,3,FALSE)),"",IFERROR(HYPERLINK(VLOOKUP(C33,'Exercise List'!$C:$E,3,FALSE),"Link"),"")))</f>
        <v/>
      </c>
      <c r="M33" s="97"/>
    </row>
    <row r="34">
      <c r="A34" s="97"/>
      <c r="B34" s="232"/>
      <c r="C34" s="232"/>
      <c r="D34" s="232"/>
      <c r="E34" s="232"/>
      <c r="F34" s="233"/>
      <c r="G34" s="234"/>
      <c r="H34" s="234"/>
      <c r="I34" s="235"/>
      <c r="J34" s="231"/>
      <c r="K34" s="232" t="str">
        <f>IF(ISBLANK(C34),"",IFERROR((VLOOKUP(C34,'Exercise List'!$C:$E,2,FALSE)),"")) &amp; " " &amp; ""</f>
        <v> </v>
      </c>
      <c r="L34" s="232" t="str">
        <f>IF(ISBLANK(C34),"",IF(ISBLANK(VLOOKUP(C34,'Exercise List'!$C:$E,3,FALSE)),"",IFERROR(HYPERLINK(VLOOKUP(C34,'Exercise List'!$C:$E,3,FALSE),"Link"),"")))</f>
        <v/>
      </c>
      <c r="M34" s="97"/>
    </row>
    <row r="35">
      <c r="A35" s="97"/>
      <c r="B35" s="232"/>
      <c r="C35" s="232"/>
      <c r="D35" s="232"/>
      <c r="E35" s="232"/>
      <c r="F35" s="233"/>
      <c r="G35" s="234"/>
      <c r="H35" s="234"/>
      <c r="I35" s="235"/>
      <c r="J35" s="231"/>
      <c r="K35" s="232" t="str">
        <f>IF(ISBLANK(C35),"",IFERROR((VLOOKUP(C35,'Exercise List'!$C:$E,2,FALSE)),"")) &amp; " " &amp; ""</f>
        <v> </v>
      </c>
      <c r="L35" s="232" t="str">
        <f>IF(ISBLANK(C35),"",IF(ISBLANK(VLOOKUP(C35,'Exercise List'!$C:$E,3,FALSE)),"",IFERROR(HYPERLINK(VLOOKUP(C35,'Exercise List'!$C:$E,3,FALSE),"Link"),"")))</f>
        <v/>
      </c>
      <c r="M35" s="97"/>
    </row>
    <row r="36">
      <c r="A36" s="97"/>
      <c r="B36" s="232"/>
      <c r="C36" s="232"/>
      <c r="D36" s="232"/>
      <c r="E36" s="232"/>
      <c r="F36" s="233"/>
      <c r="G36" s="234"/>
      <c r="H36" s="234"/>
      <c r="I36" s="235"/>
      <c r="J36" s="231"/>
      <c r="K36" s="232" t="str">
        <f>IF(ISBLANK(C36),"",IFERROR((VLOOKUP(C36,'Exercise List'!$C:$E,2,FALSE)),"")) &amp; " " &amp; ""</f>
        <v> </v>
      </c>
      <c r="L36" s="232" t="str">
        <f>IF(ISBLANK(C36),"",IF(ISBLANK(VLOOKUP(C36,'Exercise List'!$C:$E,3,FALSE)),"",IFERROR(HYPERLINK(VLOOKUP(C36,'Exercise List'!$C:$E,3,FALSE),"Link"),"")))</f>
        <v/>
      </c>
      <c r="M36" s="97"/>
    </row>
    <row r="37">
      <c r="A37" s="97"/>
      <c r="B37" s="232"/>
      <c r="C37" s="232"/>
      <c r="D37" s="232"/>
      <c r="E37" s="232"/>
      <c r="F37" s="233"/>
      <c r="G37" s="234"/>
      <c r="H37" s="234"/>
      <c r="I37" s="235"/>
      <c r="J37" s="231"/>
      <c r="K37" s="232" t="str">
        <f>IF(ISBLANK(C37),"",IFERROR((VLOOKUP(C37,'Exercise List'!$C:$E,2,FALSE)),"")) &amp; " " &amp; ""</f>
        <v> </v>
      </c>
      <c r="L37" s="232" t="str">
        <f>IF(ISBLANK(C37),"",IF(ISBLANK(VLOOKUP(C37,'Exercise List'!$C:$E,3,FALSE)),"",IFERROR(HYPERLINK(VLOOKUP(C37,'Exercise List'!$C:$E,3,FALSE),"Link"),"")))</f>
        <v/>
      </c>
      <c r="M37" s="97"/>
    </row>
    <row r="38">
      <c r="A38" s="97"/>
      <c r="B38" s="232"/>
      <c r="C38" s="232"/>
      <c r="D38" s="232"/>
      <c r="E38" s="232"/>
      <c r="F38" s="233"/>
      <c r="G38" s="234"/>
      <c r="H38" s="234"/>
      <c r="I38" s="235"/>
      <c r="J38" s="231"/>
      <c r="K38" s="232" t="str">
        <f>IF(ISBLANK(C38),"",IFERROR((VLOOKUP(C38,'Exercise List'!$C:$E,2,FALSE)),"")) &amp; " " &amp; ""</f>
        <v> </v>
      </c>
      <c r="L38" s="232" t="str">
        <f>IF(ISBLANK(C38),"",IF(ISBLANK(VLOOKUP(C38,'Exercise List'!$C:$E,3,FALSE)),"",IFERROR(HYPERLINK(VLOOKUP(C38,'Exercise List'!$C:$E,3,FALSE),"Link"),"")))</f>
        <v/>
      </c>
      <c r="M38" s="97"/>
    </row>
    <row r="39">
      <c r="A39" s="97"/>
      <c r="B39" s="232"/>
      <c r="C39" s="232"/>
      <c r="D39" s="232"/>
      <c r="E39" s="232"/>
      <c r="F39" s="233"/>
      <c r="G39" s="234"/>
      <c r="H39" s="234"/>
      <c r="I39" s="235"/>
      <c r="J39" s="231"/>
      <c r="K39" s="232" t="str">
        <f>IF(ISBLANK(C39),"",IFERROR((VLOOKUP(C39,'Exercise List'!$C:$E,2,FALSE)),"")) &amp; " " &amp; ""</f>
        <v> </v>
      </c>
      <c r="L39" s="232" t="str">
        <f>IF(ISBLANK(C39),"",IF(ISBLANK(VLOOKUP(C39,'Exercise List'!$C:$E,3,FALSE)),"",IFERROR(HYPERLINK(VLOOKUP(C39,'Exercise List'!$C:$E,3,FALSE),"Link"),"")))</f>
        <v/>
      </c>
      <c r="M39" s="97"/>
    </row>
    <row r="40">
      <c r="A40" s="97"/>
      <c r="B40" s="232"/>
      <c r="C40" s="226"/>
      <c r="D40" s="232"/>
      <c r="E40" s="232"/>
      <c r="F40" s="233"/>
      <c r="G40" s="234"/>
      <c r="H40" s="234"/>
      <c r="I40" s="235"/>
      <c r="J40" s="231"/>
      <c r="K40" s="232" t="str">
        <f>IF(ISBLANK(C40),"",IFERROR((VLOOKUP(C40,'Exercise List'!$C:$E,2,FALSE)),"")) &amp; " " &amp; ""</f>
        <v> </v>
      </c>
      <c r="L40" s="232" t="str">
        <f>IF(ISBLANK(C40),"",IF(ISBLANK(VLOOKUP(C40,'Exercise List'!$C:$E,3,FALSE)),"",IFERROR(HYPERLINK(VLOOKUP(C40,'Exercise List'!$C:$E,3,FALSE),"Link"),"")))</f>
        <v/>
      </c>
      <c r="M40" s="97"/>
    </row>
    <row r="41">
      <c r="A41" s="97"/>
      <c r="B41" s="236"/>
      <c r="C41" s="236"/>
      <c r="D41" s="237"/>
      <c r="E41" s="237"/>
      <c r="F41" s="238"/>
      <c r="G41" s="239"/>
      <c r="H41" s="239"/>
      <c r="I41" s="240"/>
      <c r="J41" s="241"/>
      <c r="K41" s="237" t="str">
        <f>IF(ISBLANK(C41),"",IFERROR((VLOOKUP(C41,'Exercise List'!$C:$E,2,FALSE)),"")) &amp; " " &amp; ""</f>
        <v> </v>
      </c>
      <c r="L41" s="237" t="str">
        <f>IF(ISBLANK(C41),"",IF(ISBLANK(VLOOKUP(C41,'Exercise List'!$C:$E,3,FALSE)),"",IFERROR(HYPERLINK(VLOOKUP(C41,'Exercise List'!$C:$E,3,FALSE),"Link"),"")))</f>
        <v/>
      </c>
      <c r="M41" s="97"/>
    </row>
    <row r="42">
      <c r="A42" s="97"/>
      <c r="B42" s="102"/>
      <c r="C42" s="102"/>
      <c r="D42" s="102"/>
      <c r="E42" s="102"/>
      <c r="F42" s="102"/>
      <c r="G42" s="102"/>
      <c r="H42" s="102"/>
      <c r="I42" s="102"/>
      <c r="J42" s="102"/>
      <c r="K42" s="243"/>
      <c r="L42" s="102"/>
      <c r="M42" s="97"/>
    </row>
    <row r="43" ht="22.5" customHeight="1">
      <c r="A43" s="104"/>
      <c r="B43" s="218" t="s">
        <v>567</v>
      </c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41"/>
    </row>
    <row r="44" ht="22.5" customHeight="1">
      <c r="A44" s="97"/>
      <c r="B44" s="105" t="s">
        <v>544</v>
      </c>
      <c r="C44" s="105" t="s">
        <v>545</v>
      </c>
      <c r="D44" s="105" t="s">
        <v>546</v>
      </c>
      <c r="E44" s="105" t="s">
        <v>547</v>
      </c>
      <c r="F44" s="9" t="s">
        <v>548</v>
      </c>
      <c r="G44" s="10"/>
      <c r="H44" s="10"/>
      <c r="I44" s="11"/>
      <c r="J44" s="105" t="s">
        <v>549</v>
      </c>
      <c r="K44" s="105" t="s">
        <v>550</v>
      </c>
      <c r="L44" s="105" t="s">
        <v>551</v>
      </c>
      <c r="M44" s="97"/>
    </row>
    <row r="45">
      <c r="A45" s="97"/>
      <c r="B45" s="219"/>
      <c r="C45" s="219" t="s">
        <v>568</v>
      </c>
      <c r="D45" s="219">
        <v>2.0</v>
      </c>
      <c r="E45" s="219" t="s">
        <v>555</v>
      </c>
      <c r="F45" s="221">
        <v>3.0</v>
      </c>
      <c r="G45" s="222">
        <v>0.0</v>
      </c>
      <c r="H45" s="222">
        <v>1.0</v>
      </c>
      <c r="I45" s="223">
        <v>1.0</v>
      </c>
      <c r="J45" s="224"/>
      <c r="K45" s="225" t="str">
        <f>IF(ISBLANK(C45),"",IFERROR((VLOOKUP(C45,'Exercise List'!$C:$E,2,FALSE)),"")) &amp; " " &amp; ""</f>
        <v> </v>
      </c>
      <c r="L45" s="225" t="str">
        <f>IF(ISBLANK(C45),"",IF(ISBLANK(VLOOKUP(C45,'Exercise List'!$C:$E,3,FALSE)),"",IFERROR(HYPERLINK(VLOOKUP(C45,'Exercise List'!$C:$E,3,FALSE),"Link"),"")))</f>
        <v/>
      </c>
      <c r="M45" s="97"/>
    </row>
    <row r="46">
      <c r="A46" s="97"/>
      <c r="B46" s="226"/>
      <c r="C46" s="226" t="s">
        <v>569</v>
      </c>
      <c r="D46" s="226">
        <v>2.0</v>
      </c>
      <c r="E46" s="226" t="s">
        <v>555</v>
      </c>
      <c r="F46" s="228">
        <v>3.0</v>
      </c>
      <c r="G46" s="229">
        <v>0.0</v>
      </c>
      <c r="H46" s="229">
        <v>1.0</v>
      </c>
      <c r="I46" s="230">
        <v>1.0</v>
      </c>
      <c r="J46" s="231"/>
      <c r="K46" s="232" t="str">
        <f>IF(ISBLANK(C46),"",IFERROR((VLOOKUP(C46,'Exercise List'!$C:$E,2,FALSE)),"")) &amp; " " &amp; ""</f>
        <v> </v>
      </c>
      <c r="L46" s="232" t="str">
        <f>IF(ISBLANK(C46),"",IF(ISBLANK(VLOOKUP(C46,'Exercise List'!$C:$E,3,FALSE)),"",IFERROR(HYPERLINK(VLOOKUP(C46,'Exercise List'!$C:$E,3,FALSE),"Link"),"")))</f>
        <v/>
      </c>
      <c r="M46" s="97"/>
    </row>
    <row r="47">
      <c r="A47" s="97"/>
      <c r="B47" s="226"/>
      <c r="C47" s="226" t="s">
        <v>570</v>
      </c>
      <c r="D47" s="226">
        <v>2.0</v>
      </c>
      <c r="E47" s="226" t="s">
        <v>555</v>
      </c>
      <c r="F47" s="228">
        <v>3.0</v>
      </c>
      <c r="G47" s="229">
        <v>0.0</v>
      </c>
      <c r="H47" s="229">
        <v>1.0</v>
      </c>
      <c r="I47" s="230">
        <v>1.0</v>
      </c>
      <c r="J47" s="231"/>
      <c r="K47" s="232" t="str">
        <f>IF(ISBLANK(C47),"",IFERROR((VLOOKUP(C47,'Exercise List'!$C:$E,2,FALSE)),"")) &amp; " " &amp; ""</f>
        <v> </v>
      </c>
      <c r="L47" s="232" t="str">
        <f>IF(ISBLANK(C47),"",IF(ISBLANK(VLOOKUP(C47,'Exercise List'!$C:$E,3,FALSE)),"",IFERROR(HYPERLINK(VLOOKUP(C47,'Exercise List'!$C:$E,3,FALSE),"Link"),"")))</f>
        <v/>
      </c>
      <c r="M47" s="97"/>
    </row>
    <row r="48">
      <c r="A48" s="97"/>
      <c r="B48" s="226"/>
      <c r="C48" s="226" t="s">
        <v>571</v>
      </c>
      <c r="D48" s="226">
        <v>2.0</v>
      </c>
      <c r="E48" s="226" t="s">
        <v>555</v>
      </c>
      <c r="F48" s="228">
        <v>3.0</v>
      </c>
      <c r="G48" s="229">
        <v>0.0</v>
      </c>
      <c r="H48" s="229">
        <v>1.0</v>
      </c>
      <c r="I48" s="230">
        <v>1.0</v>
      </c>
      <c r="J48" s="231"/>
      <c r="K48" s="232" t="str">
        <f>IF(ISBLANK(C48),"",IFERROR((VLOOKUP(C48,'Exercise List'!$C:$E,2,FALSE)),"")) &amp; " " &amp; ""</f>
        <v> </v>
      </c>
      <c r="L48" s="232" t="str">
        <f>IF(ISBLANK(C48),"",IF(ISBLANK(VLOOKUP(C48,'Exercise List'!$C:$E,3,FALSE)),"",IFERROR(HYPERLINK(VLOOKUP(C48,'Exercise List'!$C:$E,3,FALSE),"Link"),"")))</f>
        <v/>
      </c>
      <c r="M48" s="97"/>
    </row>
    <row r="49">
      <c r="A49" s="97"/>
      <c r="B49" s="226"/>
      <c r="C49" s="226" t="s">
        <v>572</v>
      </c>
      <c r="D49" s="226">
        <v>3.0</v>
      </c>
      <c r="E49" s="226" t="s">
        <v>573</v>
      </c>
      <c r="F49" s="228">
        <v>3.0</v>
      </c>
      <c r="G49" s="229">
        <v>0.0</v>
      </c>
      <c r="H49" s="229">
        <v>1.0</v>
      </c>
      <c r="I49" s="230">
        <v>1.0</v>
      </c>
      <c r="J49" s="231"/>
      <c r="K49" s="232" t="str">
        <f>IF(ISBLANK(C49),"",IFERROR((VLOOKUP(C49,'Exercise List'!$C:$E,2,FALSE)),"")) &amp; " " &amp; ""</f>
        <v> </v>
      </c>
      <c r="L49" s="232" t="str">
        <f>IF(ISBLANK(C49),"",IF(ISBLANK(VLOOKUP(C49,'Exercise List'!$C:$E,3,FALSE)),"",IFERROR(HYPERLINK(VLOOKUP(C49,'Exercise List'!$C:$E,3,FALSE),"Link"),"")))</f>
        <v/>
      </c>
      <c r="M49" s="97"/>
    </row>
    <row r="50">
      <c r="A50" s="97"/>
      <c r="B50" s="226"/>
      <c r="C50" s="226"/>
      <c r="D50" s="226"/>
      <c r="E50" s="226"/>
      <c r="F50" s="233"/>
      <c r="G50" s="234"/>
      <c r="H50" s="234"/>
      <c r="I50" s="235"/>
      <c r="J50" s="231"/>
      <c r="K50" s="232" t="str">
        <f>IF(ISBLANK(C50),"",IFERROR((VLOOKUP(C50,'Exercise List'!$C:$E,2,FALSE)),"")) &amp; " " &amp; ""</f>
        <v> </v>
      </c>
      <c r="L50" s="232" t="str">
        <f>IF(ISBLANK(C50),"",IF(ISBLANK(VLOOKUP(C50,'Exercise List'!$C:$E,3,FALSE)),"",IFERROR(HYPERLINK(VLOOKUP(C50,'Exercise List'!$C:$E,3,FALSE),"Link"),"")))</f>
        <v/>
      </c>
      <c r="M50" s="97"/>
    </row>
    <row r="51">
      <c r="A51" s="97"/>
      <c r="B51" s="226"/>
      <c r="C51" s="226"/>
      <c r="D51" s="226"/>
      <c r="E51" s="226"/>
      <c r="F51" s="233"/>
      <c r="G51" s="234"/>
      <c r="H51" s="234"/>
      <c r="I51" s="235"/>
      <c r="J51" s="231"/>
      <c r="K51" s="232" t="str">
        <f>IF(ISBLANK(C51),"",IFERROR((VLOOKUP(C51,'Exercise List'!$C:$E,2,FALSE)),"")) &amp; " " &amp; ""</f>
        <v> </v>
      </c>
      <c r="L51" s="232" t="str">
        <f>IF(ISBLANK(C51),"",IF(ISBLANK(VLOOKUP(C51,'Exercise List'!$C:$E,3,FALSE)),"",IFERROR(HYPERLINK(VLOOKUP(C51,'Exercise List'!$C:$E,3,FALSE),"Link"),"")))</f>
        <v/>
      </c>
      <c r="M51" s="97"/>
    </row>
    <row r="52">
      <c r="A52" s="97"/>
      <c r="B52" s="232"/>
      <c r="C52" s="226"/>
      <c r="D52" s="226"/>
      <c r="E52" s="226"/>
      <c r="F52" s="233"/>
      <c r="G52" s="234"/>
      <c r="H52" s="234"/>
      <c r="I52" s="235"/>
      <c r="J52" s="231"/>
      <c r="K52" s="232" t="str">
        <f>IF(ISBLANK(C52),"",IFERROR((VLOOKUP(C52,'Exercise List'!$C:$E,2,FALSE)),"")) &amp; " " &amp; ""</f>
        <v> </v>
      </c>
      <c r="L52" s="232" t="str">
        <f>IF(ISBLANK(C52),"",IF(ISBLANK(VLOOKUP(C52,'Exercise List'!$C:$E,3,FALSE)),"",IFERROR(HYPERLINK(VLOOKUP(C52,'Exercise List'!$C:$E,3,FALSE),"Link"),"")))</f>
        <v/>
      </c>
      <c r="M52" s="97"/>
    </row>
    <row r="53">
      <c r="A53" s="97"/>
      <c r="B53" s="232"/>
      <c r="C53" s="232"/>
      <c r="D53" s="232"/>
      <c r="E53" s="232"/>
      <c r="F53" s="233"/>
      <c r="G53" s="234"/>
      <c r="H53" s="234"/>
      <c r="I53" s="235"/>
      <c r="J53" s="231"/>
      <c r="K53" s="232" t="str">
        <f>IF(ISBLANK(C53),"",IFERROR((VLOOKUP(C53,'Exercise List'!$C:$E,2,FALSE)),"")) &amp; " " &amp; ""</f>
        <v> </v>
      </c>
      <c r="L53" s="232" t="str">
        <f>IF(ISBLANK(C53),"",IF(ISBLANK(VLOOKUP(C53,'Exercise List'!$C:$E,3,FALSE)),"",IFERROR(HYPERLINK(VLOOKUP(C53,'Exercise List'!$C:$E,3,FALSE),"Link"),"")))</f>
        <v/>
      </c>
      <c r="M53" s="97"/>
    </row>
    <row r="54">
      <c r="A54" s="97"/>
      <c r="B54" s="232"/>
      <c r="C54" s="232"/>
      <c r="D54" s="232"/>
      <c r="E54" s="232"/>
      <c r="F54" s="233"/>
      <c r="G54" s="234"/>
      <c r="H54" s="234"/>
      <c r="I54" s="235"/>
      <c r="J54" s="231"/>
      <c r="K54" s="232" t="str">
        <f>IF(ISBLANK(C54),"",IFERROR((VLOOKUP(C54,'Exercise List'!$C:$E,2,FALSE)),"")) &amp; " " &amp; ""</f>
        <v> </v>
      </c>
      <c r="L54" s="232" t="str">
        <f>IF(ISBLANK(C54),"",IF(ISBLANK(VLOOKUP(C54,'Exercise List'!$C:$E,3,FALSE)),"",IFERROR(HYPERLINK(VLOOKUP(C54,'Exercise List'!$C:$E,3,FALSE),"Link"),"")))</f>
        <v/>
      </c>
      <c r="M54" s="97"/>
    </row>
    <row r="55">
      <c r="A55" s="97"/>
      <c r="B55" s="232"/>
      <c r="C55" s="232"/>
      <c r="D55" s="232"/>
      <c r="E55" s="232"/>
      <c r="F55" s="233"/>
      <c r="G55" s="234"/>
      <c r="H55" s="234"/>
      <c r="I55" s="235"/>
      <c r="J55" s="231"/>
      <c r="K55" s="232" t="str">
        <f>IF(ISBLANK(C55),"",IFERROR((VLOOKUP(C55,'Exercise List'!$C:$E,2,FALSE)),"")) &amp; " " &amp; ""</f>
        <v> </v>
      </c>
      <c r="L55" s="232" t="str">
        <f>IF(ISBLANK(C55),"",IF(ISBLANK(VLOOKUP(C55,'Exercise List'!$C:$E,3,FALSE)),"",IFERROR(HYPERLINK(VLOOKUP(C55,'Exercise List'!$C:$E,3,FALSE),"Link"),"")))</f>
        <v/>
      </c>
      <c r="M55" s="97"/>
    </row>
    <row r="56">
      <c r="A56" s="97"/>
      <c r="B56" s="232"/>
      <c r="C56" s="232"/>
      <c r="D56" s="232"/>
      <c r="E56" s="232"/>
      <c r="F56" s="233"/>
      <c r="G56" s="234"/>
      <c r="H56" s="234"/>
      <c r="I56" s="235"/>
      <c r="J56" s="231"/>
      <c r="K56" s="232" t="str">
        <f>IF(ISBLANK(C56),"",IFERROR((VLOOKUP(C56,'Exercise List'!$C:$E,2,FALSE)),"")) &amp; " " &amp; ""</f>
        <v> </v>
      </c>
      <c r="L56" s="232" t="str">
        <f>IF(ISBLANK(C56),"",IF(ISBLANK(VLOOKUP(C56,'Exercise List'!$C:$E,3,FALSE)),"",IFERROR(HYPERLINK(VLOOKUP(C56,'Exercise List'!$C:$E,3,FALSE),"Link"),"")))</f>
        <v/>
      </c>
      <c r="M56" s="97"/>
    </row>
    <row r="57">
      <c r="A57" s="97"/>
      <c r="B57" s="232"/>
      <c r="C57" s="232"/>
      <c r="D57" s="232"/>
      <c r="E57" s="232"/>
      <c r="F57" s="233"/>
      <c r="G57" s="234"/>
      <c r="H57" s="234"/>
      <c r="I57" s="235"/>
      <c r="J57" s="231"/>
      <c r="K57" s="232" t="str">
        <f>IF(ISBLANK(C57),"",IFERROR((VLOOKUP(C57,'Exercise List'!$C:$E,2,FALSE)),"")) &amp; " " &amp; ""</f>
        <v> </v>
      </c>
      <c r="L57" s="232" t="str">
        <f>IF(ISBLANK(C57),"",IF(ISBLANK(VLOOKUP(C57,'Exercise List'!$C:$E,3,FALSE)),"",IFERROR(HYPERLINK(VLOOKUP(C57,'Exercise List'!$C:$E,3,FALSE),"Link"),"")))</f>
        <v/>
      </c>
      <c r="M57" s="97"/>
    </row>
    <row r="58">
      <c r="A58" s="97"/>
      <c r="B58" s="232"/>
      <c r="C58" s="226"/>
      <c r="D58" s="232"/>
      <c r="E58" s="232"/>
      <c r="F58" s="233"/>
      <c r="G58" s="234"/>
      <c r="H58" s="234"/>
      <c r="I58" s="235"/>
      <c r="J58" s="231"/>
      <c r="K58" s="232" t="str">
        <f>IF(ISBLANK(C58),"",IFERROR((VLOOKUP(C58,'Exercise List'!$C:$E,2,FALSE)),"")) &amp; " " &amp; ""</f>
        <v> </v>
      </c>
      <c r="L58" s="232" t="str">
        <f>IF(ISBLANK(C58),"",IF(ISBLANK(VLOOKUP(C58,'Exercise List'!$C:$E,3,FALSE)),"",IFERROR(HYPERLINK(VLOOKUP(C58,'Exercise List'!$C:$E,3,FALSE),"Link"),"")))</f>
        <v/>
      </c>
      <c r="M58" s="97"/>
    </row>
    <row r="59">
      <c r="A59" s="97"/>
      <c r="B59" s="236"/>
      <c r="C59" s="236"/>
      <c r="D59" s="237"/>
      <c r="E59" s="237"/>
      <c r="F59" s="238"/>
      <c r="G59" s="239"/>
      <c r="H59" s="239"/>
      <c r="I59" s="240"/>
      <c r="J59" s="241"/>
      <c r="K59" s="237" t="str">
        <f>IF(ISBLANK(C59),"",IFERROR((VLOOKUP(C59,'Exercise List'!$C:$E,2,FALSE)),"")) &amp; " " &amp; ""</f>
        <v> </v>
      </c>
      <c r="L59" s="237" t="str">
        <f>IF(ISBLANK(C59),"",IF(ISBLANK(VLOOKUP(C59,'Exercise List'!$C:$E,3,FALSE)),"",IFERROR(HYPERLINK(VLOOKUP(C59,'Exercise List'!$C:$E,3,FALSE),"Link"),"")))</f>
        <v/>
      </c>
      <c r="M59" s="97"/>
    </row>
    <row r="60">
      <c r="A60" s="97"/>
      <c r="B60" s="102"/>
      <c r="C60" s="102"/>
      <c r="D60" s="102"/>
      <c r="E60" s="102"/>
      <c r="F60" s="102"/>
      <c r="G60" s="102"/>
      <c r="H60" s="102"/>
      <c r="I60" s="102"/>
      <c r="J60" s="102"/>
      <c r="K60" s="243"/>
      <c r="L60" s="102"/>
      <c r="M60" s="97"/>
    </row>
    <row r="61" ht="22.5" customHeight="1">
      <c r="A61" s="104"/>
      <c r="B61" s="218" t="s">
        <v>574</v>
      </c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41"/>
    </row>
    <row r="62" ht="22.5" customHeight="1">
      <c r="A62" s="97"/>
      <c r="B62" s="105" t="s">
        <v>544</v>
      </c>
      <c r="C62" s="105" t="s">
        <v>545</v>
      </c>
      <c r="D62" s="105"/>
      <c r="E62" s="105" t="s">
        <v>547</v>
      </c>
      <c r="F62" s="9" t="s">
        <v>548</v>
      </c>
      <c r="G62" s="10"/>
      <c r="H62" s="10"/>
      <c r="I62" s="11"/>
      <c r="J62" s="105" t="s">
        <v>549</v>
      </c>
      <c r="K62" s="105" t="s">
        <v>550</v>
      </c>
      <c r="L62" s="105" t="s">
        <v>551</v>
      </c>
      <c r="M62" s="97"/>
    </row>
    <row r="63">
      <c r="A63" s="97"/>
      <c r="B63" s="219"/>
      <c r="C63" s="219" t="s">
        <v>575</v>
      </c>
      <c r="D63" s="219">
        <v>2.0</v>
      </c>
      <c r="E63" s="220">
        <v>45881.0</v>
      </c>
      <c r="F63" s="221">
        <v>3.0</v>
      </c>
      <c r="G63" s="222">
        <v>0.0</v>
      </c>
      <c r="H63" s="222">
        <v>1.0</v>
      </c>
      <c r="I63" s="223">
        <v>1.0</v>
      </c>
      <c r="J63" s="224"/>
      <c r="K63" s="225" t="str">
        <f>IF(ISBLANK(C63),"",IFERROR((VLOOKUP(C63,'Exercise List'!$C:$E,2,FALSE)),"")) &amp; " " &amp; ""</f>
        <v> </v>
      </c>
      <c r="L63" s="225" t="str">
        <f>IF(ISBLANK(C63),"",IF(ISBLANK(VLOOKUP(C63,'Exercise List'!$C:$E,3,FALSE)),"",IFERROR(HYPERLINK(VLOOKUP(C63,'Exercise List'!$C:$E,3,FALSE),"Link"),"")))</f>
        <v/>
      </c>
      <c r="M63" s="97"/>
    </row>
    <row r="64">
      <c r="A64" s="97"/>
      <c r="B64" s="226"/>
      <c r="C64" s="226" t="s">
        <v>576</v>
      </c>
      <c r="D64" s="226">
        <v>3.0</v>
      </c>
      <c r="E64" s="227">
        <v>45785.0</v>
      </c>
      <c r="F64" s="228">
        <v>3.0</v>
      </c>
      <c r="G64" s="229">
        <v>0.0</v>
      </c>
      <c r="H64" s="229">
        <v>1.0</v>
      </c>
      <c r="I64" s="230">
        <v>1.0</v>
      </c>
      <c r="J64" s="231"/>
      <c r="K64" s="232" t="str">
        <f>IF(ISBLANK(C64),"",IFERROR((VLOOKUP(C64,'Exercise List'!$C:$E,2,FALSE)),"")) &amp; " " &amp; ""</f>
        <v> </v>
      </c>
      <c r="L64" s="232" t="str">
        <f>IF(ISBLANK(C64),"",IF(ISBLANK(VLOOKUP(C64,'Exercise List'!$C:$E,3,FALSE)),"",IFERROR(HYPERLINK(VLOOKUP(C64,'Exercise List'!$C:$E,3,FALSE),"Link"),"")))</f>
        <v/>
      </c>
      <c r="M64" s="97"/>
    </row>
    <row r="65">
      <c r="A65" s="97"/>
      <c r="B65" s="226"/>
      <c r="C65" s="226" t="s">
        <v>577</v>
      </c>
      <c r="D65" s="226">
        <v>2.0</v>
      </c>
      <c r="E65" s="227">
        <v>45881.0</v>
      </c>
      <c r="F65" s="228">
        <v>3.0</v>
      </c>
      <c r="G65" s="229">
        <v>0.0</v>
      </c>
      <c r="H65" s="229">
        <v>1.0</v>
      </c>
      <c r="I65" s="230">
        <v>1.0</v>
      </c>
      <c r="J65" s="231"/>
      <c r="K65" s="232" t="str">
        <f>IF(ISBLANK(C65),"",IFERROR((VLOOKUP(C65,'Exercise List'!$C:$E,2,FALSE)),"")) &amp; " " &amp; ""</f>
        <v> </v>
      </c>
      <c r="L65" s="232" t="str">
        <f>IF(ISBLANK(C65),"",IF(ISBLANK(VLOOKUP(C65,'Exercise List'!$C:$E,3,FALSE)),"",IFERROR(HYPERLINK(VLOOKUP(C65,'Exercise List'!$C:$E,3,FALSE),"Link"),"")))</f>
        <v/>
      </c>
      <c r="M65" s="97"/>
    </row>
    <row r="66">
      <c r="A66" s="97"/>
      <c r="B66" s="226"/>
      <c r="C66" s="226" t="s">
        <v>557</v>
      </c>
      <c r="D66" s="226">
        <v>2.0</v>
      </c>
      <c r="E66" s="227">
        <v>45881.0</v>
      </c>
      <c r="F66" s="228">
        <v>3.0</v>
      </c>
      <c r="G66" s="229">
        <v>0.0</v>
      </c>
      <c r="H66" s="229">
        <v>1.0</v>
      </c>
      <c r="I66" s="230">
        <v>1.0</v>
      </c>
      <c r="J66" s="231"/>
      <c r="K66" s="232" t="str">
        <f>IF(ISBLANK(C66),"",IFERROR((VLOOKUP(C66,'Exercise List'!$C:$E,2,FALSE)),"")) &amp; " " &amp; ""</f>
        <v> </v>
      </c>
      <c r="L66" s="232" t="str">
        <f>IF(ISBLANK(C66),"",IF(ISBLANK(VLOOKUP(C66,'Exercise List'!$C:$E,3,FALSE)),"",IFERROR(HYPERLINK(VLOOKUP(C66,'Exercise List'!$C:$E,3,FALSE),"Link"),"")))</f>
        <v/>
      </c>
      <c r="M66" s="97"/>
    </row>
    <row r="67">
      <c r="A67" s="97"/>
      <c r="B67" s="226"/>
      <c r="C67" s="226" t="s">
        <v>578</v>
      </c>
      <c r="D67" s="226">
        <v>2.0</v>
      </c>
      <c r="E67" s="227">
        <v>45881.0</v>
      </c>
      <c r="F67" s="228">
        <v>3.0</v>
      </c>
      <c r="G67" s="229">
        <v>0.0</v>
      </c>
      <c r="H67" s="229">
        <v>1.0</v>
      </c>
      <c r="I67" s="230">
        <v>1.0</v>
      </c>
      <c r="J67" s="231"/>
      <c r="K67" s="232" t="str">
        <f>IF(ISBLANK(C67),"",IFERROR((VLOOKUP(C67,'Exercise List'!$C:$E,2,FALSE)),"")) &amp; " " &amp; ""</f>
        <v> </v>
      </c>
      <c r="L67" s="232" t="str">
        <f>IF(ISBLANK(C67),"",IF(ISBLANK(VLOOKUP(C67,'Exercise List'!$C:$E,3,FALSE)),"",IFERROR(HYPERLINK(VLOOKUP(C67,'Exercise List'!$C:$E,3,FALSE),"Link"),"")))</f>
        <v/>
      </c>
      <c r="M67" s="97"/>
    </row>
    <row r="68">
      <c r="A68" s="97"/>
      <c r="B68" s="226"/>
      <c r="C68" s="226"/>
      <c r="D68" s="226"/>
      <c r="E68" s="226"/>
      <c r="F68" s="233"/>
      <c r="G68" s="234"/>
      <c r="H68" s="234"/>
      <c r="I68" s="235"/>
      <c r="J68" s="231"/>
      <c r="K68" s="232" t="str">
        <f>IF(ISBLANK(C68),"",IFERROR((VLOOKUP(C68,'Exercise List'!$C:$E,2,FALSE)),"")) &amp; " " &amp; ""</f>
        <v> </v>
      </c>
      <c r="L68" s="232" t="str">
        <f>IF(ISBLANK(C68),"",IF(ISBLANK(VLOOKUP(C68,'Exercise List'!$C:$E,3,FALSE)),"",IFERROR(HYPERLINK(VLOOKUP(C68,'Exercise List'!$C:$E,3,FALSE),"Link"),"")))</f>
        <v/>
      </c>
      <c r="M68" s="97"/>
    </row>
    <row r="69">
      <c r="A69" s="97"/>
      <c r="B69" s="226"/>
      <c r="C69" s="232"/>
      <c r="D69" s="232"/>
      <c r="E69" s="232"/>
      <c r="F69" s="233"/>
      <c r="G69" s="234"/>
      <c r="H69" s="234"/>
      <c r="I69" s="235"/>
      <c r="J69" s="231"/>
      <c r="K69" s="232" t="str">
        <f>IF(ISBLANK(C69),"",IFERROR((VLOOKUP(C69,'Exercise List'!$C:$E,2,FALSE)),"")) &amp; " " &amp; ""</f>
        <v> </v>
      </c>
      <c r="L69" s="232" t="str">
        <f>IF(ISBLANK(C69),"",IF(ISBLANK(VLOOKUP(C69,'Exercise List'!$C:$E,3,FALSE)),"",IFERROR(HYPERLINK(VLOOKUP(C69,'Exercise List'!$C:$E,3,FALSE),"Link"),"")))</f>
        <v/>
      </c>
      <c r="M69" s="97"/>
    </row>
    <row r="70">
      <c r="A70" s="97"/>
      <c r="B70" s="232"/>
      <c r="C70" s="232"/>
      <c r="D70" s="232"/>
      <c r="E70" s="232"/>
      <c r="F70" s="233"/>
      <c r="G70" s="234"/>
      <c r="H70" s="234"/>
      <c r="I70" s="235"/>
      <c r="J70" s="231"/>
      <c r="K70" s="232" t="str">
        <f>IF(ISBLANK(C70),"",IFERROR((VLOOKUP(C70,'Exercise List'!$C:$E,2,FALSE)),"")) &amp; " " &amp; ""</f>
        <v> </v>
      </c>
      <c r="L70" s="232" t="str">
        <f>IF(ISBLANK(C70),"",IF(ISBLANK(VLOOKUP(C70,'Exercise List'!$C:$E,3,FALSE)),"",IFERROR(HYPERLINK(VLOOKUP(C70,'Exercise List'!$C:$E,3,FALSE),"Link"),"")))</f>
        <v/>
      </c>
      <c r="M70" s="97"/>
    </row>
    <row r="71">
      <c r="A71" s="97"/>
      <c r="B71" s="232"/>
      <c r="C71" s="232"/>
      <c r="D71" s="232"/>
      <c r="E71" s="232"/>
      <c r="F71" s="233"/>
      <c r="G71" s="234"/>
      <c r="H71" s="234"/>
      <c r="I71" s="235"/>
      <c r="J71" s="231"/>
      <c r="K71" s="232" t="str">
        <f>IF(ISBLANK(C71),"",IFERROR((VLOOKUP(C71,'Exercise List'!$C:$E,2,FALSE)),"")) &amp; " " &amp; ""</f>
        <v> </v>
      </c>
      <c r="L71" s="232" t="str">
        <f>IF(ISBLANK(C71),"",IF(ISBLANK(VLOOKUP(C71,'Exercise List'!$C:$E,3,FALSE)),"",IFERROR(HYPERLINK(VLOOKUP(C71,'Exercise List'!$C:$E,3,FALSE),"Link"),"")))</f>
        <v/>
      </c>
      <c r="M71" s="97"/>
    </row>
    <row r="72">
      <c r="A72" s="97"/>
      <c r="B72" s="232"/>
      <c r="C72" s="232"/>
      <c r="D72" s="232"/>
      <c r="E72" s="232"/>
      <c r="F72" s="233"/>
      <c r="G72" s="234"/>
      <c r="H72" s="234"/>
      <c r="I72" s="235"/>
      <c r="J72" s="231"/>
      <c r="K72" s="232" t="str">
        <f>IF(ISBLANK(C72),"",IFERROR((VLOOKUP(C72,'Exercise List'!$C:$E,2,FALSE)),"")) &amp; " " &amp; ""</f>
        <v> </v>
      </c>
      <c r="L72" s="232" t="str">
        <f>IF(ISBLANK(C72),"",IF(ISBLANK(VLOOKUP(C72,'Exercise List'!$C:$E,3,FALSE)),"",IFERROR(HYPERLINK(VLOOKUP(C72,'Exercise List'!$C:$E,3,FALSE),"Link"),"")))</f>
        <v/>
      </c>
      <c r="M72" s="97"/>
    </row>
    <row r="73">
      <c r="A73" s="97"/>
      <c r="B73" s="232"/>
      <c r="C73" s="232"/>
      <c r="D73" s="232"/>
      <c r="E73" s="232"/>
      <c r="F73" s="233"/>
      <c r="G73" s="234"/>
      <c r="H73" s="234"/>
      <c r="I73" s="235"/>
      <c r="J73" s="231"/>
      <c r="K73" s="232" t="str">
        <f>IF(ISBLANK(C73),"",IFERROR((VLOOKUP(C73,'Exercise List'!$C:$E,2,FALSE)),"")) &amp; " " &amp; ""</f>
        <v> </v>
      </c>
      <c r="L73" s="232" t="str">
        <f>IF(ISBLANK(C73),"",IF(ISBLANK(VLOOKUP(C73,'Exercise List'!$C:$E,3,FALSE)),"",IFERROR(HYPERLINK(VLOOKUP(C73,'Exercise List'!$C:$E,3,FALSE),"Link"),"")))</f>
        <v/>
      </c>
      <c r="M73" s="97"/>
    </row>
    <row r="74">
      <c r="A74" s="97"/>
      <c r="B74" s="232"/>
      <c r="C74" s="232"/>
      <c r="D74" s="232"/>
      <c r="E74" s="232"/>
      <c r="F74" s="233"/>
      <c r="G74" s="234"/>
      <c r="H74" s="234"/>
      <c r="I74" s="235"/>
      <c r="J74" s="231"/>
      <c r="K74" s="232" t="str">
        <f>IF(ISBLANK(C74),"",IFERROR((VLOOKUP(C74,'Exercise List'!$C:$E,2,FALSE)),"")) &amp; " " &amp; ""</f>
        <v> </v>
      </c>
      <c r="L74" s="232" t="str">
        <f>IF(ISBLANK(C74),"",IF(ISBLANK(VLOOKUP(C74,'Exercise List'!$C:$E,3,FALSE)),"",IFERROR(HYPERLINK(VLOOKUP(C74,'Exercise List'!$C:$E,3,FALSE),"Link"),"")))</f>
        <v/>
      </c>
      <c r="M74" s="97"/>
    </row>
    <row r="75">
      <c r="A75" s="97"/>
      <c r="B75" s="232"/>
      <c r="C75" s="232"/>
      <c r="D75" s="232"/>
      <c r="E75" s="232"/>
      <c r="F75" s="233"/>
      <c r="G75" s="234"/>
      <c r="H75" s="234"/>
      <c r="I75" s="235"/>
      <c r="J75" s="231"/>
      <c r="K75" s="232" t="str">
        <f>IF(ISBLANK(C75),"",IFERROR((VLOOKUP(C75,'Exercise List'!$C:$E,2,FALSE)),"")) &amp; " " &amp; ""</f>
        <v> </v>
      </c>
      <c r="L75" s="232" t="str">
        <f>IF(ISBLANK(C75),"",IF(ISBLANK(VLOOKUP(C75,'Exercise List'!$C:$E,3,FALSE)),"",IFERROR(HYPERLINK(VLOOKUP(C75,'Exercise List'!$C:$E,3,FALSE),"Link"),"")))</f>
        <v/>
      </c>
      <c r="M75" s="97"/>
    </row>
    <row r="76">
      <c r="A76" s="97"/>
      <c r="B76" s="232"/>
      <c r="C76" s="226"/>
      <c r="D76" s="232"/>
      <c r="E76" s="232"/>
      <c r="F76" s="233"/>
      <c r="G76" s="234"/>
      <c r="H76" s="234"/>
      <c r="I76" s="235"/>
      <c r="J76" s="231"/>
      <c r="K76" s="232" t="str">
        <f>IF(ISBLANK(C76),"",IFERROR((VLOOKUP(C76,'Exercise List'!$C:$E,2,FALSE)),"")) &amp; " " &amp; ""</f>
        <v> </v>
      </c>
      <c r="L76" s="232" t="str">
        <f>IF(ISBLANK(C76),"",IF(ISBLANK(VLOOKUP(C76,'Exercise List'!$C:$E,3,FALSE)),"",IFERROR(HYPERLINK(VLOOKUP(C76,'Exercise List'!$C:$E,3,FALSE),"Link"),"")))</f>
        <v/>
      </c>
      <c r="M76" s="97"/>
    </row>
    <row r="77">
      <c r="A77" s="97"/>
      <c r="B77" s="236"/>
      <c r="C77" s="236"/>
      <c r="D77" s="237"/>
      <c r="E77" s="237"/>
      <c r="F77" s="238"/>
      <c r="G77" s="239"/>
      <c r="H77" s="239"/>
      <c r="I77" s="240"/>
      <c r="J77" s="241"/>
      <c r="K77" s="237" t="str">
        <f>IF(ISBLANK(C77),"",IFERROR((VLOOKUP(C77,'Exercise List'!$C:$E,2,FALSE)),"")) &amp; " " &amp; ""</f>
        <v> </v>
      </c>
      <c r="L77" s="237" t="str">
        <f>IF(ISBLANK(C77),"",IF(ISBLANK(VLOOKUP(C77,'Exercise List'!$C:$E,3,FALSE)),"",IFERROR(HYPERLINK(VLOOKUP(C77,'Exercise List'!$C:$E,3,FALSE),"Link"),"")))</f>
        <v/>
      </c>
      <c r="M77" s="97"/>
    </row>
    <row r="78">
      <c r="A78" s="97"/>
      <c r="B78" s="102"/>
      <c r="C78" s="102"/>
      <c r="D78" s="102"/>
      <c r="E78" s="102"/>
      <c r="F78" s="102"/>
      <c r="G78" s="102"/>
      <c r="H78" s="102"/>
      <c r="I78" s="102"/>
      <c r="J78" s="102"/>
      <c r="K78" s="243"/>
      <c r="L78" s="102"/>
      <c r="M78" s="97"/>
    </row>
    <row r="79" ht="22.5" customHeight="1">
      <c r="A79" s="104"/>
      <c r="B79" s="218" t="s">
        <v>579</v>
      </c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41"/>
    </row>
    <row r="80" ht="22.5" customHeight="1">
      <c r="A80" s="104"/>
      <c r="B80" s="105" t="s">
        <v>544</v>
      </c>
      <c r="C80" s="105" t="s">
        <v>545</v>
      </c>
      <c r="D80" s="105" t="s">
        <v>546</v>
      </c>
      <c r="E80" s="105" t="s">
        <v>547</v>
      </c>
      <c r="F80" s="9" t="s">
        <v>548</v>
      </c>
      <c r="G80" s="10"/>
      <c r="H80" s="10"/>
      <c r="I80" s="11"/>
      <c r="J80" s="105" t="s">
        <v>549</v>
      </c>
      <c r="K80" s="105" t="s">
        <v>550</v>
      </c>
      <c r="L80" s="105" t="s">
        <v>551</v>
      </c>
      <c r="M80" s="141"/>
    </row>
    <row r="81">
      <c r="A81" s="104"/>
      <c r="B81" s="219"/>
      <c r="C81" s="219"/>
      <c r="D81" s="219"/>
      <c r="E81" s="219"/>
      <c r="F81" s="221"/>
      <c r="G81" s="222"/>
      <c r="H81" s="222"/>
      <c r="I81" s="223"/>
      <c r="J81" s="224"/>
      <c r="K81" s="225" t="str">
        <f>IF(ISBLANK(C81),"",IFERROR((VLOOKUP(C81,'Exercise List'!$C:$E,2,FALSE)),"")) &amp; " " &amp; ""</f>
        <v> </v>
      </c>
      <c r="L81" s="225" t="str">
        <f>IF(ISBLANK(C81),"",IF(ISBLANK(VLOOKUP(C81,'Exercise List'!$C:$E,3,FALSE)),"",IFERROR(HYPERLINK(VLOOKUP(C81,'Exercise List'!$C:$E,3,FALSE),"Link"),"")))</f>
        <v/>
      </c>
      <c r="M81" s="141"/>
    </row>
    <row r="82">
      <c r="A82" s="104"/>
      <c r="B82" s="226"/>
      <c r="C82" s="226"/>
      <c r="D82" s="232"/>
      <c r="E82" s="232"/>
      <c r="F82" s="233"/>
      <c r="G82" s="234"/>
      <c r="H82" s="234"/>
      <c r="I82" s="235"/>
      <c r="J82" s="231"/>
      <c r="K82" s="232" t="str">
        <f>IF(ISBLANK(C82),"",IFERROR((VLOOKUP(C82,'Exercise List'!$C:$E,2,FALSE)),"")) &amp; " " &amp; ""</f>
        <v> </v>
      </c>
      <c r="L82" s="232" t="str">
        <f>IF(ISBLANK(C82),"",IF(ISBLANK(VLOOKUP(C82,'Exercise List'!$C:$E,3,FALSE)),"",IFERROR(HYPERLINK(VLOOKUP(C82,'Exercise List'!$C:$E,3,FALSE),"Link"),"")))</f>
        <v/>
      </c>
      <c r="M82" s="141"/>
    </row>
    <row r="83">
      <c r="A83" s="104"/>
      <c r="B83" s="226"/>
      <c r="C83" s="232"/>
      <c r="D83" s="232"/>
      <c r="E83" s="232"/>
      <c r="F83" s="233"/>
      <c r="G83" s="234"/>
      <c r="H83" s="234"/>
      <c r="I83" s="235"/>
      <c r="J83" s="231"/>
      <c r="K83" s="232" t="str">
        <f>IF(ISBLANK(C83),"",IFERROR((VLOOKUP(C83,'Exercise List'!$C:$E,2,FALSE)),"")) &amp; " " &amp; ""</f>
        <v> </v>
      </c>
      <c r="L83" s="232" t="str">
        <f>IF(ISBLANK(C83),"",IF(ISBLANK(VLOOKUP(C83,'Exercise List'!$C:$E,3,FALSE)),"",IFERROR(HYPERLINK(VLOOKUP(C83,'Exercise List'!$C:$E,3,FALSE),"Link"),"")))</f>
        <v/>
      </c>
      <c r="M83" s="141"/>
    </row>
    <row r="84">
      <c r="A84" s="104"/>
      <c r="B84" s="226"/>
      <c r="C84" s="232"/>
      <c r="D84" s="232"/>
      <c r="E84" s="232"/>
      <c r="F84" s="233"/>
      <c r="G84" s="234"/>
      <c r="H84" s="234"/>
      <c r="I84" s="235"/>
      <c r="J84" s="231"/>
      <c r="K84" s="232" t="str">
        <f>IF(ISBLANK(C84),"",IFERROR((VLOOKUP(C84,'Exercise List'!$C:$E,2,FALSE)),"")) &amp; " " &amp; ""</f>
        <v> </v>
      </c>
      <c r="L84" s="232" t="str">
        <f>IF(ISBLANK(C84),"",IF(ISBLANK(VLOOKUP(C84,'Exercise List'!$C:$E,3,FALSE)),"",IFERROR(HYPERLINK(VLOOKUP(C84,'Exercise List'!$C:$E,3,FALSE),"Link"),"")))</f>
        <v/>
      </c>
      <c r="M84" s="141"/>
    </row>
    <row r="85">
      <c r="A85" s="104"/>
      <c r="B85" s="226"/>
      <c r="C85" s="232"/>
      <c r="D85" s="232"/>
      <c r="E85" s="232"/>
      <c r="F85" s="233"/>
      <c r="G85" s="234"/>
      <c r="H85" s="234"/>
      <c r="I85" s="235"/>
      <c r="J85" s="231"/>
      <c r="K85" s="232" t="str">
        <f>IF(ISBLANK(C85),"",IFERROR((VLOOKUP(C85,'Exercise List'!$C:$E,2,FALSE)),"")) &amp; " " &amp; ""</f>
        <v> </v>
      </c>
      <c r="L85" s="232" t="str">
        <f>IF(ISBLANK(C85),"",IF(ISBLANK(VLOOKUP(C85,'Exercise List'!$C:$E,3,FALSE)),"",IFERROR(HYPERLINK(VLOOKUP(C85,'Exercise List'!$C:$E,3,FALSE),"Link"),"")))</f>
        <v/>
      </c>
      <c r="M85" s="141"/>
    </row>
    <row r="86">
      <c r="A86" s="104"/>
      <c r="B86" s="226"/>
      <c r="C86" s="232"/>
      <c r="D86" s="232"/>
      <c r="E86" s="232"/>
      <c r="F86" s="233"/>
      <c r="G86" s="234"/>
      <c r="H86" s="234"/>
      <c r="I86" s="235"/>
      <c r="J86" s="231"/>
      <c r="K86" s="232" t="str">
        <f>IF(ISBLANK(C86),"",IFERROR((VLOOKUP(C86,'Exercise List'!$C:$E,2,FALSE)),"")) &amp; " " &amp; ""</f>
        <v> </v>
      </c>
      <c r="L86" s="232" t="str">
        <f>IF(ISBLANK(C86),"",IF(ISBLANK(VLOOKUP(C86,'Exercise List'!$C:$E,3,FALSE)),"",IFERROR(HYPERLINK(VLOOKUP(C86,'Exercise List'!$C:$E,3,FALSE),"Link"),"")))</f>
        <v/>
      </c>
      <c r="M86" s="141"/>
    </row>
    <row r="87">
      <c r="A87" s="104"/>
      <c r="B87" s="226"/>
      <c r="C87" s="232"/>
      <c r="D87" s="232"/>
      <c r="E87" s="232"/>
      <c r="F87" s="233"/>
      <c r="G87" s="234"/>
      <c r="H87" s="234"/>
      <c r="I87" s="235"/>
      <c r="J87" s="231"/>
      <c r="K87" s="232" t="str">
        <f>IF(ISBLANK(C87),"",IFERROR((VLOOKUP(C87,'Exercise List'!$C:$E,2,FALSE)),"")) &amp; " " &amp; ""</f>
        <v> </v>
      </c>
      <c r="L87" s="232" t="str">
        <f>IF(ISBLANK(C87),"",IF(ISBLANK(VLOOKUP(C87,'Exercise List'!$C:$E,3,FALSE)),"",IFERROR(HYPERLINK(VLOOKUP(C87,'Exercise List'!$C:$E,3,FALSE),"Link"),"")))</f>
        <v/>
      </c>
      <c r="M87" s="141"/>
    </row>
    <row r="88">
      <c r="A88" s="104"/>
      <c r="B88" s="232"/>
      <c r="C88" s="232"/>
      <c r="D88" s="232"/>
      <c r="E88" s="232"/>
      <c r="F88" s="233"/>
      <c r="G88" s="234"/>
      <c r="H88" s="234"/>
      <c r="I88" s="235"/>
      <c r="J88" s="231"/>
      <c r="K88" s="232" t="str">
        <f>IF(ISBLANK(C88),"",IFERROR((VLOOKUP(C88,'Exercise List'!$C:$E,2,FALSE)),"")) &amp; " " &amp; ""</f>
        <v> </v>
      </c>
      <c r="L88" s="232" t="str">
        <f>IF(ISBLANK(C88),"",IF(ISBLANK(VLOOKUP(C88,'Exercise List'!$C:$E,3,FALSE)),"",IFERROR(HYPERLINK(VLOOKUP(C88,'Exercise List'!$C:$E,3,FALSE),"Link"),"")))</f>
        <v/>
      </c>
      <c r="M88" s="141"/>
    </row>
    <row r="89">
      <c r="A89" s="104"/>
      <c r="B89" s="232"/>
      <c r="C89" s="232"/>
      <c r="D89" s="232"/>
      <c r="E89" s="232"/>
      <c r="F89" s="233"/>
      <c r="G89" s="234"/>
      <c r="H89" s="234"/>
      <c r="I89" s="235"/>
      <c r="J89" s="231"/>
      <c r="K89" s="232" t="str">
        <f>IF(ISBLANK(C89),"",IFERROR((VLOOKUP(C89,'Exercise List'!$C:$E,2,FALSE)),"")) &amp; " " &amp; ""</f>
        <v> </v>
      </c>
      <c r="L89" s="232" t="str">
        <f>IF(ISBLANK(C89),"",IF(ISBLANK(VLOOKUP(C89,'Exercise List'!$C:$E,3,FALSE)),"",IFERROR(HYPERLINK(VLOOKUP(C89,'Exercise List'!$C:$E,3,FALSE),"Link"),"")))</f>
        <v/>
      </c>
      <c r="M89" s="141"/>
    </row>
    <row r="90">
      <c r="A90" s="104"/>
      <c r="B90" s="232"/>
      <c r="C90" s="232"/>
      <c r="D90" s="232"/>
      <c r="E90" s="232"/>
      <c r="F90" s="233"/>
      <c r="G90" s="234"/>
      <c r="H90" s="234"/>
      <c r="I90" s="235"/>
      <c r="J90" s="231"/>
      <c r="K90" s="232" t="str">
        <f>IF(ISBLANK(C90),"",IFERROR((VLOOKUP(C90,'Exercise List'!$C:$E,2,FALSE)),"")) &amp; " " &amp; ""</f>
        <v> </v>
      </c>
      <c r="L90" s="232" t="str">
        <f>IF(ISBLANK(C90),"",IF(ISBLANK(VLOOKUP(C90,'Exercise List'!$C:$E,3,FALSE)),"",IFERROR(HYPERLINK(VLOOKUP(C90,'Exercise List'!$C:$E,3,FALSE),"Link"),"")))</f>
        <v/>
      </c>
      <c r="M90" s="141"/>
    </row>
    <row r="91">
      <c r="A91" s="104"/>
      <c r="B91" s="232"/>
      <c r="C91" s="232"/>
      <c r="D91" s="232"/>
      <c r="E91" s="232"/>
      <c r="F91" s="233"/>
      <c r="G91" s="234"/>
      <c r="H91" s="234"/>
      <c r="I91" s="235"/>
      <c r="J91" s="231"/>
      <c r="K91" s="232" t="str">
        <f>IF(ISBLANK(C91),"",IFERROR((VLOOKUP(C91,'Exercise List'!$C:$E,2,FALSE)),"")) &amp; " " &amp; ""</f>
        <v> </v>
      </c>
      <c r="L91" s="232" t="str">
        <f>IF(ISBLANK(C91),"",IF(ISBLANK(VLOOKUP(C91,'Exercise List'!$C:$E,3,FALSE)),"",IFERROR(HYPERLINK(VLOOKUP(C91,'Exercise List'!$C:$E,3,FALSE),"Link"),"")))</f>
        <v/>
      </c>
      <c r="M91" s="141"/>
    </row>
    <row r="92">
      <c r="A92" s="104"/>
      <c r="B92" s="232"/>
      <c r="C92" s="232"/>
      <c r="D92" s="232"/>
      <c r="E92" s="232"/>
      <c r="F92" s="233"/>
      <c r="G92" s="234"/>
      <c r="H92" s="234"/>
      <c r="I92" s="235"/>
      <c r="J92" s="231"/>
      <c r="K92" s="232" t="str">
        <f>IF(ISBLANK(C92),"",IFERROR((VLOOKUP(C92,'Exercise List'!$C:$E,2,FALSE)),"")) &amp; " " &amp; ""</f>
        <v> </v>
      </c>
      <c r="L92" s="232" t="str">
        <f>IF(ISBLANK(C92),"",IF(ISBLANK(VLOOKUP(C92,'Exercise List'!$C:$E,3,FALSE)),"",IFERROR(HYPERLINK(VLOOKUP(C92,'Exercise List'!$C:$E,3,FALSE),"Link"),"")))</f>
        <v/>
      </c>
      <c r="M92" s="141"/>
    </row>
    <row r="93">
      <c r="A93" s="104"/>
      <c r="B93" s="244"/>
      <c r="C93" s="232"/>
      <c r="D93" s="232"/>
      <c r="E93" s="232"/>
      <c r="F93" s="233"/>
      <c r="G93" s="234"/>
      <c r="H93" s="234"/>
      <c r="I93" s="235"/>
      <c r="J93" s="231"/>
      <c r="K93" s="232" t="str">
        <f>IF(ISBLANK(C93),"",IFERROR((VLOOKUP(C93,'Exercise List'!$C:$E,2,FALSE)),"")) &amp; " " &amp; ""</f>
        <v> </v>
      </c>
      <c r="L93" s="232" t="str">
        <f>IF(ISBLANK(C93),"",IF(ISBLANK(VLOOKUP(C93,'Exercise List'!$C:$E,3,FALSE)),"",IFERROR(HYPERLINK(VLOOKUP(C93,'Exercise List'!$C:$E,3,FALSE),"Link"),"")))</f>
        <v/>
      </c>
      <c r="M93" s="141"/>
    </row>
    <row r="94">
      <c r="A94" s="104"/>
      <c r="B94" s="226"/>
      <c r="C94" s="226"/>
      <c r="D94" s="232"/>
      <c r="E94" s="232"/>
      <c r="F94" s="233"/>
      <c r="G94" s="234"/>
      <c r="H94" s="234"/>
      <c r="I94" s="235"/>
      <c r="J94" s="231"/>
      <c r="K94" s="232" t="str">
        <f>IF(ISBLANK(C94),"",IFERROR((VLOOKUP(C94,'Exercise List'!$C:$E,2,FALSE)),"")) &amp; " " &amp; ""</f>
        <v> </v>
      </c>
      <c r="L94" s="232" t="str">
        <f>IF(ISBLANK(C94),"",IF(ISBLANK(VLOOKUP(C94,'Exercise List'!$C:$E,3,FALSE)),"",IFERROR(HYPERLINK(VLOOKUP(C94,'Exercise List'!$C:$E,3,FALSE),"Link"),"")))</f>
        <v/>
      </c>
      <c r="M94" s="141"/>
    </row>
    <row r="95">
      <c r="A95" s="104"/>
      <c r="B95" s="245"/>
      <c r="C95" s="236"/>
      <c r="D95" s="237"/>
      <c r="E95" s="237"/>
      <c r="F95" s="238"/>
      <c r="G95" s="239"/>
      <c r="H95" s="239"/>
      <c r="I95" s="240"/>
      <c r="J95" s="241"/>
      <c r="K95" s="237" t="str">
        <f>IF(ISBLANK(C95),"",IFERROR((VLOOKUP(C95,'Exercise List'!$C:$E,2,FALSE)),"")) &amp; " " &amp; ""</f>
        <v> </v>
      </c>
      <c r="L95" s="237" t="str">
        <f>IF(ISBLANK(C95),"",IF(ISBLANK(VLOOKUP(C95,'Exercise List'!$C:$E,3,FALSE)),"",IFERROR(HYPERLINK(VLOOKUP(C95,'Exercise List'!$C:$E,3,FALSE),"Link"),"")))</f>
        <v/>
      </c>
      <c r="M95" s="141"/>
    </row>
    <row r="96" ht="33.75" customHeight="1">
      <c r="A96" s="97"/>
      <c r="B96" s="246" t="s">
        <v>464</v>
      </c>
      <c r="C96" s="190"/>
      <c r="D96" s="190"/>
      <c r="E96" s="190"/>
      <c r="F96" s="190"/>
      <c r="G96" s="190"/>
      <c r="H96" s="190"/>
      <c r="I96" s="190"/>
      <c r="J96" s="190"/>
      <c r="K96" s="190"/>
      <c r="L96" s="191"/>
      <c r="M96" s="97"/>
    </row>
  </sheetData>
  <mergeCells count="19">
    <mergeCell ref="B1:C6"/>
    <mergeCell ref="D3:E3"/>
    <mergeCell ref="F3:J3"/>
    <mergeCell ref="K3:K5"/>
    <mergeCell ref="D4:E4"/>
    <mergeCell ref="F4:J4"/>
    <mergeCell ref="D5:E5"/>
    <mergeCell ref="B61:L61"/>
    <mergeCell ref="F62:I62"/>
    <mergeCell ref="B79:L79"/>
    <mergeCell ref="F80:I80"/>
    <mergeCell ref="B96:L96"/>
    <mergeCell ref="F5:J5"/>
    <mergeCell ref="B7:L7"/>
    <mergeCell ref="F8:I8"/>
    <mergeCell ref="B25:L25"/>
    <mergeCell ref="F26:I26"/>
    <mergeCell ref="B43:L43"/>
    <mergeCell ref="F44:I44"/>
  </mergeCells>
  <dataValidations>
    <dataValidation type="custom" allowBlank="1" showDropDown="1" sqref="F4">
      <formula1>OR(NOT(ISERROR(DATEVALUE(F4))), AND(ISNUMBER(F4), LEFT(CELL("format", F4))="D"))</formula1>
    </dataValidation>
    <dataValidation type="list" allowBlank="1" sqref="C9:C23 C27:C41 C45:C59 C63:C77 C81:C95">
      <formula1>'Exercise List'!$C:$C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38"/>
    <col customWidth="1" min="2" max="3" width="4.5"/>
    <col customWidth="1" min="4" max="4" width="31.38"/>
    <col customWidth="1" min="5" max="5" width="15.13"/>
    <col customWidth="1" min="6" max="6" width="12.63"/>
    <col customWidth="1" min="7" max="10" width="10.13"/>
    <col customWidth="1" min="11" max="11" width="6.38"/>
    <col customWidth="1" min="12" max="13" width="4.5"/>
    <col customWidth="1" min="14" max="14" width="31.38"/>
    <col customWidth="1" min="15" max="15" width="15.13"/>
    <col customWidth="1" min="16" max="16" width="12.63"/>
    <col customWidth="1" min="17" max="20" width="10.13"/>
    <col customWidth="1" min="21" max="21" width="6.38"/>
  </cols>
  <sheetData>
    <row r="1" ht="33.75" customHeight="1">
      <c r="A1" s="247"/>
      <c r="B1" s="248" t="s">
        <v>0</v>
      </c>
      <c r="C1" s="5"/>
      <c r="D1" s="6"/>
      <c r="E1" s="249"/>
      <c r="F1" s="5"/>
      <c r="G1" s="5"/>
      <c r="H1" s="5"/>
      <c r="I1" s="6"/>
      <c r="J1" s="250"/>
      <c r="K1" s="251"/>
      <c r="L1" s="252"/>
      <c r="M1" s="5"/>
      <c r="N1" s="5"/>
      <c r="O1" s="5"/>
      <c r="P1" s="5"/>
      <c r="Q1" s="5"/>
      <c r="R1" s="5"/>
      <c r="S1" s="5"/>
      <c r="T1" s="6"/>
      <c r="U1" s="253"/>
    </row>
    <row r="2" ht="18.75" customHeight="1">
      <c r="A2" s="247"/>
      <c r="B2" s="13"/>
      <c r="D2" s="254"/>
      <c r="E2" s="255" t="s">
        <v>10</v>
      </c>
      <c r="F2" s="255" t="s">
        <v>13</v>
      </c>
      <c r="G2" s="256" t="s">
        <v>15</v>
      </c>
      <c r="H2" s="256" t="s">
        <v>17</v>
      </c>
      <c r="I2" s="256" t="s">
        <v>20</v>
      </c>
      <c r="J2" s="257"/>
      <c r="K2" s="147"/>
      <c r="L2" s="13"/>
      <c r="T2" s="14"/>
      <c r="U2" s="253"/>
    </row>
    <row r="3" ht="18.75" customHeight="1">
      <c r="A3" s="247"/>
      <c r="B3" s="13"/>
      <c r="D3" s="258"/>
      <c r="E3" s="259" t="s">
        <v>11</v>
      </c>
      <c r="F3" s="260">
        <f t="shared" ref="F3:I3" si="1">G54</f>
        <v>1401.8</v>
      </c>
      <c r="G3" s="260">
        <f t="shared" si="1"/>
        <v>133.43</v>
      </c>
      <c r="H3" s="260">
        <f t="shared" si="1"/>
        <v>182.6</v>
      </c>
      <c r="I3" s="260">
        <f t="shared" si="1"/>
        <v>15.525</v>
      </c>
      <c r="J3" s="261"/>
      <c r="K3" s="147"/>
      <c r="L3" s="13"/>
      <c r="T3" s="14"/>
      <c r="U3" s="253"/>
    </row>
    <row r="4" ht="18.75" customHeight="1">
      <c r="A4" s="247"/>
      <c r="B4" s="13"/>
      <c r="D4" s="254"/>
      <c r="E4" s="259" t="s">
        <v>12</v>
      </c>
      <c r="F4" s="260">
        <f t="shared" ref="F4:I4" si="2">Q54</f>
        <v>1134.5</v>
      </c>
      <c r="G4" s="260">
        <f t="shared" si="2"/>
        <v>98.45</v>
      </c>
      <c r="H4" s="260">
        <f t="shared" si="2"/>
        <v>134.7</v>
      </c>
      <c r="I4" s="260">
        <f t="shared" si="2"/>
        <v>21.5</v>
      </c>
      <c r="J4" s="257"/>
      <c r="K4" s="147"/>
      <c r="L4" s="13"/>
      <c r="T4" s="14"/>
      <c r="U4" s="253"/>
    </row>
    <row r="5" ht="33.75" customHeight="1">
      <c r="A5" s="247"/>
      <c r="B5" s="21"/>
      <c r="C5" s="22"/>
      <c r="D5" s="23"/>
      <c r="E5" s="262"/>
      <c r="I5" s="14"/>
      <c r="J5" s="152"/>
      <c r="K5" s="147"/>
      <c r="L5" s="21"/>
      <c r="M5" s="22"/>
      <c r="N5" s="22"/>
      <c r="O5" s="22"/>
      <c r="P5" s="22"/>
      <c r="Q5" s="22"/>
      <c r="R5" s="22"/>
      <c r="S5" s="22"/>
      <c r="T5" s="23"/>
      <c r="U5" s="253"/>
    </row>
    <row r="6" ht="22.5" customHeight="1">
      <c r="A6" s="263"/>
      <c r="B6" s="264" t="s">
        <v>580</v>
      </c>
      <c r="C6" s="10"/>
      <c r="D6" s="10"/>
      <c r="E6" s="10"/>
      <c r="F6" s="10"/>
      <c r="G6" s="10"/>
      <c r="H6" s="10"/>
      <c r="I6" s="10"/>
      <c r="J6" s="11"/>
      <c r="K6" s="147"/>
      <c r="L6" s="264" t="s">
        <v>581</v>
      </c>
      <c r="M6" s="10"/>
      <c r="N6" s="10"/>
      <c r="O6" s="10"/>
      <c r="P6" s="10"/>
      <c r="Q6" s="10"/>
      <c r="R6" s="10"/>
      <c r="S6" s="10"/>
      <c r="T6" s="11"/>
      <c r="U6" s="265"/>
    </row>
    <row r="7" ht="22.5" customHeight="1">
      <c r="A7" s="266"/>
      <c r="B7" s="267" t="s">
        <v>582</v>
      </c>
      <c r="C7" s="11"/>
      <c r="D7" s="255" t="s">
        <v>583</v>
      </c>
      <c r="E7" s="255" t="s">
        <v>584</v>
      </c>
      <c r="F7" s="268" t="s">
        <v>585</v>
      </c>
      <c r="G7" s="256" t="s">
        <v>13</v>
      </c>
      <c r="H7" s="256" t="s">
        <v>15</v>
      </c>
      <c r="I7" s="256" t="s">
        <v>17</v>
      </c>
      <c r="J7" s="256" t="s">
        <v>20</v>
      </c>
      <c r="K7" s="152"/>
      <c r="L7" s="267" t="s">
        <v>582</v>
      </c>
      <c r="M7" s="11"/>
      <c r="N7" s="255" t="s">
        <v>583</v>
      </c>
      <c r="O7" s="255" t="s">
        <v>584</v>
      </c>
      <c r="P7" s="268" t="s">
        <v>585</v>
      </c>
      <c r="Q7" s="256" t="s">
        <v>13</v>
      </c>
      <c r="R7" s="256" t="s">
        <v>15</v>
      </c>
      <c r="S7" s="256" t="s">
        <v>17</v>
      </c>
      <c r="T7" s="256" t="s">
        <v>20</v>
      </c>
      <c r="U7" s="253"/>
    </row>
    <row r="8">
      <c r="A8" s="266"/>
      <c r="B8" s="269" t="s">
        <v>586</v>
      </c>
      <c r="C8" s="270"/>
      <c r="D8" s="271" t="s">
        <v>587</v>
      </c>
      <c r="E8" s="271" t="str">
        <f>IF(ISBLANK(D8),"",IFERROR((VLOOKUP(D8,'Food List'!$C:$H,2,FALSE)),""))</f>
        <v>100g</v>
      </c>
      <c r="F8" s="271">
        <v>0.5</v>
      </c>
      <c r="G8" s="272">
        <f>IF(ISBLANK(F8),"",IFERROR((VLOOKUP(D8,'Food List'!$C:$H,3,FALSE))*F8,""))</f>
        <v>187</v>
      </c>
      <c r="H8" s="273">
        <f>IF(ISBLANK(F8),"",IFERROR((VLOOKUP(D8,'Food List'!$C:$H,4,FALSE))*F8,""))</f>
        <v>5.45</v>
      </c>
      <c r="I8" s="274">
        <f>IF(ISBLANK(F8),"",IFERROR((VLOOKUP(D8,'Food List'!$C:$H,5,FALSE))*F8,""))</f>
        <v>32</v>
      </c>
      <c r="J8" s="274">
        <f>IF(ISBLANK(F8),"",IFERROR((VLOOKUP(D8,'Food List'!$C:$H,6,FALSE))*F8,""))</f>
        <v>4.05</v>
      </c>
      <c r="K8" s="275"/>
      <c r="L8" s="269" t="s">
        <v>586</v>
      </c>
      <c r="M8" s="276"/>
      <c r="N8" s="271" t="s">
        <v>588</v>
      </c>
      <c r="O8" s="271" t="str">
        <f>IF(ISBLANK(N8),"",IFERROR((VLOOKUP(N8,'Food List'!$C:$H,2,FALSE)),""))</f>
        <v>1 bagel</v>
      </c>
      <c r="P8" s="271">
        <v>1.0</v>
      </c>
      <c r="Q8" s="272">
        <f>IF(ISBLANK(P8),"",IFERROR((VLOOKUP(N8,'Food List'!$C:$H,3,FALSE))*P8,""))</f>
        <v>224</v>
      </c>
      <c r="R8" s="273">
        <f>IF(ISBLANK(P8),"",IFERROR((VLOOKUP(N8,'Food List'!$C:$H,4,FALSE))*P8,""))</f>
        <v>8.5</v>
      </c>
      <c r="S8" s="274">
        <f>IF(ISBLANK(P8),"",IFERROR((VLOOKUP(N8,'Food List'!$C:$H,5,FALSE))*P8,""))</f>
        <v>43.8</v>
      </c>
      <c r="T8" s="274">
        <f>IF(ISBLANK(P8),"",IFERROR((VLOOKUP(N8,'Food List'!$C:$H,6,FALSE))*P8,""))</f>
        <v>1.2</v>
      </c>
      <c r="U8" s="253"/>
    </row>
    <row r="9">
      <c r="A9" s="266"/>
      <c r="B9" s="277"/>
      <c r="C9" s="278"/>
      <c r="D9" s="279" t="s">
        <v>589</v>
      </c>
      <c r="E9" s="279" t="str">
        <f>IF(ISBLANK(D9),"",IFERROR((VLOOKUP(D9,'Food List'!$C:$H,2,FALSE)),""))</f>
        <v>100g</v>
      </c>
      <c r="F9" s="279">
        <v>1.0</v>
      </c>
      <c r="G9" s="280">
        <f>IF(ISBLANK(F9),"",IFERROR((VLOOKUP(D9,'Food List'!$C:$H,3,FALSE))*F9,""))</f>
        <v>42</v>
      </c>
      <c r="H9" s="281">
        <f>IF(ISBLANK(F9),"",IFERROR((VLOOKUP(D9,'Food List'!$C:$H,4,FALSE))*F9,""))</f>
        <v>0.9</v>
      </c>
      <c r="I9" s="282">
        <f>IF(ISBLANK(F9),"",IFERROR((VLOOKUP(D9,'Food List'!$C:$H,5,FALSE))*F9,""))</f>
        <v>9.1</v>
      </c>
      <c r="J9" s="282">
        <f>IF(ISBLANK(F9),"",IFERROR((VLOOKUP(D9,'Food List'!$C:$H,6,FALSE))*F9,""))</f>
        <v>0.2</v>
      </c>
      <c r="L9" s="283"/>
      <c r="M9" s="284"/>
      <c r="N9" s="279" t="s">
        <v>590</v>
      </c>
      <c r="O9" s="279" t="str">
        <f>IF(ISBLANK(N9),"",IFERROR((VLOOKUP(N9,'Food List'!$C:$H,2,FALSE)),""))</f>
        <v>1 egg</v>
      </c>
      <c r="P9" s="279">
        <v>1.0</v>
      </c>
      <c r="Q9" s="280">
        <f>IF(ISBLANK(P9),"",IFERROR((VLOOKUP(N9,'Food List'!$C:$H,3,FALSE))*P9,""))</f>
        <v>72</v>
      </c>
      <c r="R9" s="281">
        <f>IF(ISBLANK(P9),"",IFERROR((VLOOKUP(N9,'Food List'!$C:$H,4,FALSE))*P9,""))</f>
        <v>6</v>
      </c>
      <c r="S9" s="282">
        <f>IF(ISBLANK(P9),"",IFERROR((VLOOKUP(N9,'Food List'!$C:$H,5,FALSE))*P9,""))</f>
        <v>0.4</v>
      </c>
      <c r="T9" s="282">
        <f>IF(ISBLANK(P9),"",IFERROR((VLOOKUP(N9,'Food List'!$C:$H,6,FALSE))*P9,""))</f>
        <v>4.8</v>
      </c>
      <c r="U9" s="253"/>
    </row>
    <row r="10">
      <c r="A10" s="266"/>
      <c r="B10" s="285"/>
      <c r="C10" s="286"/>
      <c r="D10" s="279" t="s">
        <v>591</v>
      </c>
      <c r="E10" s="279" t="str">
        <f>IF(ISBLANK(D10),"",IFERROR((VLOOKUP(D10,'Food List'!$C:$H,2,FALSE)),""))</f>
        <v>100g</v>
      </c>
      <c r="F10" s="279">
        <v>0.25</v>
      </c>
      <c r="G10" s="280">
        <f>IF(ISBLANK(F10),"",IFERROR((VLOOKUP(D10,'Food List'!$C:$H,3,FALSE))*F10,""))</f>
        <v>76.75</v>
      </c>
      <c r="H10" s="281">
        <f>IF(ISBLANK(F10),"",IFERROR((VLOOKUP(D10,'Food List'!$C:$H,4,FALSE))*F10,""))</f>
        <v>0.1</v>
      </c>
      <c r="I10" s="282">
        <f>IF(ISBLANK(F10),"",IFERROR((VLOOKUP(D10,'Food List'!$C:$H,5,FALSE))*F10,""))</f>
        <v>19</v>
      </c>
      <c r="J10" s="282">
        <f>IF(ISBLANK(F10),"",IFERROR((VLOOKUP(D10,'Food List'!$C:$H,6,FALSE))*F10,""))</f>
        <v>0</v>
      </c>
      <c r="L10" s="283"/>
      <c r="M10" s="284"/>
      <c r="N10" s="279" t="s">
        <v>592</v>
      </c>
      <c r="O10" s="279" t="str">
        <f>IF(ISBLANK(N10),"",IFERROR((VLOOKUP(N10,'Food List'!$C:$H,2,FALSE)),""))</f>
        <v>1 rasher</v>
      </c>
      <c r="P10" s="279">
        <v>2.0</v>
      </c>
      <c r="Q10" s="280">
        <f>IF(ISBLANK(P10),"",IFERROR((VLOOKUP(N10,'Food List'!$C:$H,3,FALSE))*P10,""))</f>
        <v>58</v>
      </c>
      <c r="R10" s="281">
        <f>IF(ISBLANK(P10),"",IFERROR((VLOOKUP(N10,'Food List'!$C:$H,4,FALSE))*P10,""))</f>
        <v>10.2</v>
      </c>
      <c r="S10" s="282">
        <f>IF(ISBLANK(P10),"",IFERROR((VLOOKUP(N10,'Food List'!$C:$H,5,FALSE))*P10,""))</f>
        <v>1</v>
      </c>
      <c r="T10" s="282">
        <f>IF(ISBLANK(P10),"",IFERROR((VLOOKUP(N10,'Food List'!$C:$H,6,FALSE))*P10,""))</f>
        <v>1.4</v>
      </c>
      <c r="U10" s="253"/>
    </row>
    <row r="11">
      <c r="A11" s="266"/>
      <c r="B11" s="277"/>
      <c r="C11" s="278"/>
      <c r="D11" s="279" t="s">
        <v>593</v>
      </c>
      <c r="E11" s="279" t="str">
        <f>IF(ISBLANK(D11),"",IFERROR((VLOOKUP(D11,'Food List'!$C:$H,2,FALSE)),""))</f>
        <v>100g</v>
      </c>
      <c r="F11" s="279">
        <v>0.25</v>
      </c>
      <c r="G11" s="280">
        <f>IF(ISBLANK(F11),"",IFERROR((VLOOKUP(D11,'Food List'!$C:$H,3,FALSE))*F11,""))</f>
        <v>94.75</v>
      </c>
      <c r="H11" s="281">
        <f>IF(ISBLANK(F11),"",IFERROR((VLOOKUP(D11,'Food List'!$C:$H,4,FALSE))*F11,""))</f>
        <v>22.5</v>
      </c>
      <c r="I11" s="282">
        <f>IF(ISBLANK(F11),"",IFERROR((VLOOKUP(D11,'Food List'!$C:$H,5,FALSE))*F11,""))</f>
        <v>0.35</v>
      </c>
      <c r="J11" s="282">
        <f>IF(ISBLANK(F11),"",IFERROR((VLOOKUP(D11,'Food List'!$C:$H,6,FALSE))*F11,""))</f>
        <v>0.375</v>
      </c>
      <c r="L11" s="283"/>
      <c r="M11" s="284"/>
      <c r="N11" s="279"/>
      <c r="O11" s="279" t="str">
        <f>IF(ISBLANK(N11),"",IFERROR((VLOOKUP(N11,'Food List'!$C:$H,2,FALSE)),""))</f>
        <v/>
      </c>
      <c r="P11" s="279"/>
      <c r="Q11" s="280" t="str">
        <f>IF(ISBLANK(P11),"",IFERROR((VLOOKUP(N11,'Food List'!$C:$H,3,FALSE))*P11,""))</f>
        <v/>
      </c>
      <c r="R11" s="281" t="str">
        <f>IF(ISBLANK(P11),"",IFERROR((VLOOKUP(N11,'Food List'!$C:$H,4,FALSE))*P11,""))</f>
        <v/>
      </c>
      <c r="S11" s="282" t="str">
        <f>IF(ISBLANK(P11),"",IFERROR((VLOOKUP(N11,'Food List'!$C:$H,5,FALSE))*P11,""))</f>
        <v/>
      </c>
      <c r="T11" s="282" t="str">
        <f>IF(ISBLANK(P11),"",IFERROR((VLOOKUP(N11,'Food List'!$C:$H,6,FALSE))*P11,""))</f>
        <v/>
      </c>
      <c r="U11" s="253"/>
    </row>
    <row r="12">
      <c r="A12" s="266"/>
      <c r="B12" s="285"/>
      <c r="C12" s="286"/>
      <c r="D12" s="279"/>
      <c r="E12" s="279" t="str">
        <f>IF(ISBLANK(D12),"",IFERROR((VLOOKUP(D12,'Food List'!$C:$H,2,FALSE)),""))</f>
        <v/>
      </c>
      <c r="F12" s="279"/>
      <c r="G12" s="280" t="str">
        <f>IF(ISBLANK(F12),"",IFERROR((VLOOKUP(D12,'Food List'!$C:$H,3,FALSE))*F12,""))</f>
        <v/>
      </c>
      <c r="H12" s="281" t="str">
        <f>IF(ISBLANK(F12),"",IFERROR((VLOOKUP(D12,'Food List'!$C:$H,4,FALSE))*F12,""))</f>
        <v/>
      </c>
      <c r="I12" s="282" t="str">
        <f>IF(ISBLANK(F12),"",IFERROR((VLOOKUP(D12,'Food List'!$C:$H,5,FALSE))*F12,""))</f>
        <v/>
      </c>
      <c r="J12" s="282" t="str">
        <f>IF(ISBLANK(F12),"",IFERROR((VLOOKUP(D12,'Food List'!$C:$H,6,FALSE))*F12,""))</f>
        <v/>
      </c>
      <c r="L12" s="283"/>
      <c r="M12" s="284"/>
      <c r="N12" s="279"/>
      <c r="O12" s="279" t="str">
        <f>IF(ISBLANK(N12),"",IFERROR((VLOOKUP(N12,'Food List'!$C:$H,2,FALSE)),""))</f>
        <v/>
      </c>
      <c r="P12" s="279"/>
      <c r="Q12" s="280" t="str">
        <f>IF(ISBLANK(P12),"",IFERROR((VLOOKUP(N12,'Food List'!$C:$H,3,FALSE))*P12,""))</f>
        <v/>
      </c>
      <c r="R12" s="281" t="str">
        <f>IF(ISBLANK(P12),"",IFERROR((VLOOKUP(N12,'Food List'!$C:$H,4,FALSE))*P12,""))</f>
        <v/>
      </c>
      <c r="S12" s="282" t="str">
        <f>IF(ISBLANK(P12),"",IFERROR((VLOOKUP(N12,'Food List'!$C:$H,5,FALSE))*P12,""))</f>
        <v/>
      </c>
      <c r="T12" s="282" t="str">
        <f>IF(ISBLANK(P12),"",IFERROR((VLOOKUP(N12,'Food List'!$C:$H,6,FALSE))*P12,""))</f>
        <v/>
      </c>
      <c r="U12" s="253"/>
    </row>
    <row r="13">
      <c r="A13" s="266"/>
      <c r="B13" s="277"/>
      <c r="C13" s="278"/>
      <c r="D13" s="287"/>
      <c r="E13" s="287" t="str">
        <f>IF(ISBLANK(D13),"",IFERROR((VLOOKUP(D13,'Food List'!$C:$H,2,FALSE)),""))</f>
        <v/>
      </c>
      <c r="F13" s="287"/>
      <c r="G13" s="288" t="str">
        <f>IF(ISBLANK(F13),"",IFERROR((VLOOKUP(D13,'Food List'!$C:$H,3,FALSE))*F13,""))</f>
        <v/>
      </c>
      <c r="H13" s="289" t="str">
        <f>IF(ISBLANK(F13),"",IFERROR((VLOOKUP(D13,'Food List'!$C:$H,4,FALSE))*F13,""))</f>
        <v/>
      </c>
      <c r="I13" s="290" t="str">
        <f>IF(ISBLANK(F13),"",IFERROR((VLOOKUP(D13,'Food List'!$C:$H,5,FALSE))*F13,""))</f>
        <v/>
      </c>
      <c r="J13" s="290" t="str">
        <f>IF(ISBLANK(F13),"",IFERROR((VLOOKUP(D13,'Food List'!$C:$H,6,FALSE))*F13,""))</f>
        <v/>
      </c>
      <c r="L13" s="283"/>
      <c r="M13" s="284"/>
      <c r="N13" s="287"/>
      <c r="O13" s="287" t="str">
        <f>IF(ISBLANK(N13),"",IFERROR((VLOOKUP(N13,'Food List'!$C:$H,2,FALSE)),""))</f>
        <v/>
      </c>
      <c r="P13" s="287"/>
      <c r="Q13" s="288" t="str">
        <f>IF(ISBLANK(P13),"",IFERROR((VLOOKUP(N13,'Food List'!$C:$H,3,FALSE))*P13,""))</f>
        <v/>
      </c>
      <c r="R13" s="289" t="str">
        <f>IF(ISBLANK(P13),"",IFERROR((VLOOKUP(N13,'Food List'!$C:$H,4,FALSE))*P13,""))</f>
        <v/>
      </c>
      <c r="S13" s="290" t="str">
        <f>IF(ISBLANK(P13),"",IFERROR((VLOOKUP(N13,'Food List'!$C:$H,5,FALSE))*P13,""))</f>
        <v/>
      </c>
      <c r="T13" s="290" t="str">
        <f>IF(ISBLANK(P13),"",IFERROR((VLOOKUP(N13,'Food List'!$C:$H,6,FALSE))*P13,""))</f>
        <v/>
      </c>
      <c r="U13" s="253"/>
    </row>
    <row r="14" ht="18.75" customHeight="1">
      <c r="A14" s="266"/>
      <c r="B14" s="291"/>
      <c r="C14" s="292"/>
      <c r="D14" s="293" t="s">
        <v>594</v>
      </c>
      <c r="E14" s="294"/>
      <c r="F14" s="295"/>
      <c r="G14" s="296">
        <f t="shared" ref="G14:J14" si="3">IFERROR(SUM(G8:G13),0)</f>
        <v>400.5</v>
      </c>
      <c r="H14" s="296">
        <f t="shared" si="3"/>
        <v>28.95</v>
      </c>
      <c r="I14" s="296">
        <f t="shared" si="3"/>
        <v>60.45</v>
      </c>
      <c r="J14" s="296">
        <f t="shared" si="3"/>
        <v>4.625</v>
      </c>
      <c r="L14" s="297"/>
      <c r="M14" s="38"/>
      <c r="N14" s="293" t="s">
        <v>594</v>
      </c>
      <c r="O14" s="10"/>
      <c r="P14" s="11"/>
      <c r="Q14" s="296">
        <f t="shared" ref="Q14:T14" si="4">IFERROR(SUM(Q8:Q13),0)</f>
        <v>354</v>
      </c>
      <c r="R14" s="296">
        <f t="shared" si="4"/>
        <v>24.7</v>
      </c>
      <c r="S14" s="296">
        <f t="shared" si="4"/>
        <v>45.2</v>
      </c>
      <c r="T14" s="296">
        <f t="shared" si="4"/>
        <v>7.4</v>
      </c>
      <c r="U14" s="253"/>
    </row>
    <row r="15" ht="7.5" customHeight="1">
      <c r="A15" s="247"/>
      <c r="B15" s="298"/>
      <c r="C15" s="299"/>
      <c r="D15" s="299"/>
      <c r="E15" s="299"/>
      <c r="F15" s="299"/>
      <c r="G15" s="299"/>
      <c r="H15" s="299"/>
      <c r="I15" s="299"/>
      <c r="J15" s="300"/>
      <c r="L15" s="298"/>
      <c r="M15" s="22"/>
      <c r="N15" s="22"/>
      <c r="O15" s="22"/>
      <c r="P15" s="22"/>
      <c r="Q15" s="22"/>
      <c r="R15" s="22"/>
      <c r="S15" s="22"/>
      <c r="T15" s="23"/>
      <c r="U15" s="253"/>
    </row>
    <row r="16">
      <c r="A16" s="247"/>
      <c r="B16" s="269" t="s">
        <v>595</v>
      </c>
      <c r="C16" s="270"/>
      <c r="D16" s="271" t="s">
        <v>596</v>
      </c>
      <c r="E16" s="271" t="str">
        <f>IF(ISBLANK(D16),"",IFERROR((VLOOKUP(D16,'Food List'!$C:$H,2,FALSE)),""))</f>
        <v>100g</v>
      </c>
      <c r="F16" s="271">
        <v>1.5</v>
      </c>
      <c r="G16" s="272">
        <f>IF(ISBLANK(F16),"",IFERROR((VLOOKUP(D16,'Food List'!$C:$H,3,FALSE))*F16,""))</f>
        <v>159</v>
      </c>
      <c r="H16" s="273">
        <f>IF(ISBLANK(F16),"",IFERROR((VLOOKUP(D16,'Food List'!$C:$H,4,FALSE))*F16,""))</f>
        <v>36</v>
      </c>
      <c r="I16" s="274">
        <f>IF(ISBLANK(F16),"",IFERROR((VLOOKUP(D16,'Food List'!$C:$H,5,FALSE))*F16,""))</f>
        <v>0</v>
      </c>
      <c r="J16" s="274">
        <f>IF(ISBLANK(F16),"",IFERROR((VLOOKUP(D16,'Food List'!$C:$H,6,FALSE))*F16,""))</f>
        <v>1.65</v>
      </c>
      <c r="L16" s="269" t="s">
        <v>595</v>
      </c>
      <c r="M16" s="276"/>
      <c r="N16" s="271" t="s">
        <v>596</v>
      </c>
      <c r="O16" s="271" t="str">
        <f>IF(ISBLANK(N16),"",IFERROR((VLOOKUP(N16,'Food List'!$C:$H,2,FALSE)),""))</f>
        <v>100g</v>
      </c>
      <c r="P16" s="271">
        <v>1.5</v>
      </c>
      <c r="Q16" s="272">
        <f>IF(ISBLANK(P16),"",IFERROR((VLOOKUP(N16,'Food List'!$C:$H,3,FALSE))*P16,""))</f>
        <v>159</v>
      </c>
      <c r="R16" s="273">
        <f>IF(ISBLANK(P16),"",IFERROR((VLOOKUP(N16,'Food List'!$C:$H,4,FALSE))*P16,""))</f>
        <v>36</v>
      </c>
      <c r="S16" s="274">
        <f>IF(ISBLANK(P16),"",IFERROR((VLOOKUP(N16,'Food List'!$C:$H,5,FALSE))*P16,""))</f>
        <v>0</v>
      </c>
      <c r="T16" s="274">
        <f>IF(ISBLANK(P16),"",IFERROR((VLOOKUP(N16,'Food List'!$C:$H,6,FALSE))*P16,""))</f>
        <v>1.65</v>
      </c>
      <c r="U16" s="253"/>
    </row>
    <row r="17">
      <c r="A17" s="247"/>
      <c r="B17" s="277"/>
      <c r="C17" s="278"/>
      <c r="D17" s="279" t="s">
        <v>597</v>
      </c>
      <c r="E17" s="279" t="str">
        <f>IF(ISBLANK(D17),"",IFERROR((VLOOKUP(D17,'Food List'!$C:$H,2,FALSE)),""))</f>
        <v>100g</v>
      </c>
      <c r="F17" s="279">
        <v>1.0</v>
      </c>
      <c r="G17" s="280">
        <f>IF(ISBLANK(F17),"",IFERROR((VLOOKUP(D17,'Food List'!$C:$H,3,FALSE))*F17,""))</f>
        <v>36</v>
      </c>
      <c r="H17" s="281">
        <f>IF(ISBLANK(F17),"",IFERROR((VLOOKUP(D17,'Food List'!$C:$H,4,FALSE))*F17,""))</f>
        <v>2.7</v>
      </c>
      <c r="I17" s="282">
        <f>IF(ISBLANK(F17),"",IFERROR((VLOOKUP(D17,'Food List'!$C:$H,5,FALSE))*F17,""))</f>
        <v>4.9</v>
      </c>
      <c r="J17" s="282">
        <f>IF(ISBLANK(F17),"",IFERROR((VLOOKUP(D17,'Food List'!$C:$H,6,FALSE))*F17,""))</f>
        <v>0.6</v>
      </c>
      <c r="L17" s="283"/>
      <c r="M17" s="284"/>
      <c r="N17" s="279" t="s">
        <v>597</v>
      </c>
      <c r="O17" s="279" t="str">
        <f>IF(ISBLANK(N17),"",IFERROR((VLOOKUP(N17,'Food List'!$C:$H,2,FALSE)),""))</f>
        <v>100g</v>
      </c>
      <c r="P17" s="279">
        <v>2.0</v>
      </c>
      <c r="Q17" s="280">
        <f>IF(ISBLANK(P17),"",IFERROR((VLOOKUP(N17,'Food List'!$C:$H,3,FALSE))*P17,""))</f>
        <v>72</v>
      </c>
      <c r="R17" s="281">
        <f>IF(ISBLANK(P17),"",IFERROR((VLOOKUP(N17,'Food List'!$C:$H,4,FALSE))*P17,""))</f>
        <v>5.4</v>
      </c>
      <c r="S17" s="282">
        <f>IF(ISBLANK(P17),"",IFERROR((VLOOKUP(N17,'Food List'!$C:$H,5,FALSE))*P17,""))</f>
        <v>9.8</v>
      </c>
      <c r="T17" s="282">
        <f>IF(ISBLANK(P17),"",IFERROR((VLOOKUP(N17,'Food List'!$C:$H,6,FALSE))*P17,""))</f>
        <v>1.2</v>
      </c>
      <c r="U17" s="253"/>
    </row>
    <row r="18">
      <c r="A18" s="247"/>
      <c r="B18" s="285"/>
      <c r="C18" s="286"/>
      <c r="D18" s="279" t="s">
        <v>598</v>
      </c>
      <c r="E18" s="279" t="str">
        <f>IF(ISBLANK(D18),"",IFERROR((VLOOKUP(D18,'Food List'!$C:$H,2,FALSE)),""))</f>
        <v>100g</v>
      </c>
      <c r="F18" s="279">
        <v>1.7</v>
      </c>
      <c r="G18" s="280">
        <f>IF(ISBLANK(F18),"",IFERROR((VLOOKUP(D18,'Food List'!$C:$H,3,FALSE))*F18,""))</f>
        <v>90.1</v>
      </c>
      <c r="H18" s="281">
        <f>IF(ISBLANK(F18),"",IFERROR((VLOOKUP(D18,'Food List'!$C:$H,4,FALSE))*F18,""))</f>
        <v>1.02</v>
      </c>
      <c r="I18" s="282">
        <f>IF(ISBLANK(F18),"",IFERROR((VLOOKUP(D18,'Food List'!$C:$H,5,FALSE))*F18,""))</f>
        <v>19.55</v>
      </c>
      <c r="J18" s="282">
        <f>IF(ISBLANK(F18),"",IFERROR((VLOOKUP(D18,'Food List'!$C:$H,6,FALSE))*F18,""))</f>
        <v>0.85</v>
      </c>
      <c r="L18" s="283"/>
      <c r="M18" s="284"/>
      <c r="N18" s="279" t="s">
        <v>599</v>
      </c>
      <c r="O18" s="279" t="str">
        <f>IF(ISBLANK(N18),"",IFERROR((VLOOKUP(N18,'Food List'!$C:$H,2,FALSE)),""))</f>
        <v>100g</v>
      </c>
      <c r="P18" s="279">
        <v>2.0</v>
      </c>
      <c r="Q18" s="280">
        <f>IF(ISBLANK(P18),"",IFERROR((VLOOKUP(N18,'Food List'!$C:$H,3,FALSE))*P18,""))</f>
        <v>160</v>
      </c>
      <c r="R18" s="281">
        <f>IF(ISBLANK(P18),"",IFERROR((VLOOKUP(N18,'Food List'!$C:$H,4,FALSE))*P18,""))</f>
        <v>3.8</v>
      </c>
      <c r="S18" s="282">
        <f>IF(ISBLANK(P18),"",IFERROR((VLOOKUP(N18,'Food List'!$C:$H,5,FALSE))*P18,""))</f>
        <v>35.8</v>
      </c>
      <c r="T18" s="282">
        <f>IF(ISBLANK(P18),"",IFERROR((VLOOKUP(N18,'Food List'!$C:$H,6,FALSE))*P18,""))</f>
        <v>0.2</v>
      </c>
      <c r="U18" s="253"/>
    </row>
    <row r="19">
      <c r="A19" s="247"/>
      <c r="B19" s="277"/>
      <c r="C19" s="278"/>
      <c r="D19" s="279"/>
      <c r="E19" s="279" t="str">
        <f>IF(ISBLANK(D19),"",IFERROR((VLOOKUP(D19,'Food List'!$C:$H,2,FALSE)),""))</f>
        <v/>
      </c>
      <c r="F19" s="279"/>
      <c r="G19" s="280" t="str">
        <f>IF(ISBLANK(F19),"",IFERROR((VLOOKUP(D19,'Food List'!$C:$H,3,FALSE))*F19,""))</f>
        <v/>
      </c>
      <c r="H19" s="281" t="str">
        <f>IF(ISBLANK(F19),"",IFERROR((VLOOKUP(D19,'Food List'!$C:$H,4,FALSE))*F19,""))</f>
        <v/>
      </c>
      <c r="I19" s="282" t="str">
        <f>IF(ISBLANK(F19),"",IFERROR((VLOOKUP(D19,'Food List'!$C:$H,5,FALSE))*F19,""))</f>
        <v/>
      </c>
      <c r="J19" s="282" t="str">
        <f>IF(ISBLANK(F19),"",IFERROR((VLOOKUP(D19,'Food List'!$C:$H,6,FALSE))*F19,""))</f>
        <v/>
      </c>
      <c r="L19" s="283"/>
      <c r="M19" s="284"/>
      <c r="N19" s="279"/>
      <c r="O19" s="279" t="str">
        <f>IF(ISBLANK(N19),"",IFERROR((VLOOKUP(N19,'Food List'!$C:$H,2,FALSE)),""))</f>
        <v/>
      </c>
      <c r="P19" s="279"/>
      <c r="Q19" s="280" t="str">
        <f>IF(ISBLANK(P19),"",IFERROR((VLOOKUP(N19,'Food List'!$C:$H,3,FALSE))*P19,""))</f>
        <v/>
      </c>
      <c r="R19" s="281" t="str">
        <f>IF(ISBLANK(P19),"",IFERROR((VLOOKUP(N19,'Food List'!$C:$H,4,FALSE))*P19,""))</f>
        <v/>
      </c>
      <c r="S19" s="282" t="str">
        <f>IF(ISBLANK(P19),"",IFERROR((VLOOKUP(N19,'Food List'!$C:$H,5,FALSE))*P19,""))</f>
        <v/>
      </c>
      <c r="T19" s="282" t="str">
        <f>IF(ISBLANK(P19),"",IFERROR((VLOOKUP(N19,'Food List'!$C:$H,6,FALSE))*P19,""))</f>
        <v/>
      </c>
      <c r="U19" s="253"/>
    </row>
    <row r="20">
      <c r="A20" s="247"/>
      <c r="B20" s="285"/>
      <c r="C20" s="286"/>
      <c r="D20" s="279"/>
      <c r="E20" s="279" t="str">
        <f>IF(ISBLANK(D20),"",IFERROR((VLOOKUP(D20,'Food List'!$C:$H,2,FALSE)),""))</f>
        <v/>
      </c>
      <c r="F20" s="279"/>
      <c r="G20" s="280" t="str">
        <f>IF(ISBLANK(F20),"",IFERROR((VLOOKUP(D20,'Food List'!$C:$H,3,FALSE))*F20,""))</f>
        <v/>
      </c>
      <c r="H20" s="281" t="str">
        <f>IF(ISBLANK(F20),"",IFERROR((VLOOKUP(D20,'Food List'!$C:$H,4,FALSE))*F20,""))</f>
        <v/>
      </c>
      <c r="I20" s="282" t="str">
        <f>IF(ISBLANK(F20),"",IFERROR((VLOOKUP(D20,'Food List'!$C:$H,5,FALSE))*F20,""))</f>
        <v/>
      </c>
      <c r="J20" s="282" t="str">
        <f>IF(ISBLANK(F20),"",IFERROR((VLOOKUP(D20,'Food List'!$C:$H,6,FALSE))*F20,""))</f>
        <v/>
      </c>
      <c r="L20" s="283"/>
      <c r="M20" s="284"/>
      <c r="N20" s="279"/>
      <c r="O20" s="279" t="str">
        <f>IF(ISBLANK(N20),"",IFERROR((VLOOKUP(N20,'Food List'!$C:$H,2,FALSE)),""))</f>
        <v/>
      </c>
      <c r="P20" s="279"/>
      <c r="Q20" s="280" t="str">
        <f>IF(ISBLANK(P20),"",IFERROR((VLOOKUP(N20,'Food List'!$C:$H,3,FALSE))*P20,""))</f>
        <v/>
      </c>
      <c r="R20" s="281" t="str">
        <f>IF(ISBLANK(P20),"",IFERROR((VLOOKUP(N20,'Food List'!$C:$H,4,FALSE))*P20,""))</f>
        <v/>
      </c>
      <c r="S20" s="282" t="str">
        <f>IF(ISBLANK(P20),"",IFERROR((VLOOKUP(N20,'Food List'!$C:$H,5,FALSE))*P20,""))</f>
        <v/>
      </c>
      <c r="T20" s="282" t="str">
        <f>IF(ISBLANK(P20),"",IFERROR((VLOOKUP(N20,'Food List'!$C:$H,6,FALSE))*P20,""))</f>
        <v/>
      </c>
      <c r="U20" s="253"/>
    </row>
    <row r="21">
      <c r="A21" s="247"/>
      <c r="B21" s="277"/>
      <c r="C21" s="278"/>
      <c r="D21" s="287"/>
      <c r="E21" s="287" t="str">
        <f>IF(ISBLANK(D21),"",IFERROR((VLOOKUP(D21,'Food List'!$C:$H,2,FALSE)),""))</f>
        <v/>
      </c>
      <c r="F21" s="287"/>
      <c r="G21" s="288" t="str">
        <f>IF(ISBLANK(F21),"",IFERROR((VLOOKUP(D21,'Food List'!$C:$H,3,FALSE))*F21,""))</f>
        <v/>
      </c>
      <c r="H21" s="289" t="str">
        <f>IF(ISBLANK(F21),"",IFERROR((VLOOKUP(D21,'Food List'!$C:$H,4,FALSE))*F21,""))</f>
        <v/>
      </c>
      <c r="I21" s="290" t="str">
        <f>IF(ISBLANK(F21),"",IFERROR((VLOOKUP(D21,'Food List'!$C:$H,5,FALSE))*F21,""))</f>
        <v/>
      </c>
      <c r="J21" s="290" t="str">
        <f>IF(ISBLANK(F21),"",IFERROR((VLOOKUP(D21,'Food List'!$C:$H,6,FALSE))*F21,""))</f>
        <v/>
      </c>
      <c r="L21" s="283"/>
      <c r="M21" s="284"/>
      <c r="N21" s="287"/>
      <c r="O21" s="287" t="str">
        <f>IF(ISBLANK(N21),"",IFERROR((VLOOKUP(N21,'Food List'!$C:$H,2,FALSE)),""))</f>
        <v/>
      </c>
      <c r="P21" s="287"/>
      <c r="Q21" s="288" t="str">
        <f>IF(ISBLANK(P21),"",IFERROR((VLOOKUP(N21,'Food List'!$C:$H,3,FALSE))*P21,""))</f>
        <v/>
      </c>
      <c r="R21" s="289" t="str">
        <f>IF(ISBLANK(P21),"",IFERROR((VLOOKUP(N21,'Food List'!$C:$H,4,FALSE))*P21,""))</f>
        <v/>
      </c>
      <c r="S21" s="290" t="str">
        <f>IF(ISBLANK(P21),"",IFERROR((VLOOKUP(N21,'Food List'!$C:$H,5,FALSE))*P21,""))</f>
        <v/>
      </c>
      <c r="T21" s="290" t="str">
        <f>IF(ISBLANK(P21),"",IFERROR((VLOOKUP(N21,'Food List'!$C:$H,6,FALSE))*P21,""))</f>
        <v/>
      </c>
      <c r="U21" s="253"/>
    </row>
    <row r="22" ht="18.75" customHeight="1">
      <c r="A22" s="247"/>
      <c r="B22" s="291"/>
      <c r="C22" s="292"/>
      <c r="D22" s="293" t="s">
        <v>594</v>
      </c>
      <c r="E22" s="294"/>
      <c r="F22" s="295"/>
      <c r="G22" s="296">
        <f t="shared" ref="G22:J22" si="5">IFERROR(SUM(G16:G21),0)</f>
        <v>285.1</v>
      </c>
      <c r="H22" s="296">
        <f t="shared" si="5"/>
        <v>39.72</v>
      </c>
      <c r="I22" s="296">
        <f t="shared" si="5"/>
        <v>24.45</v>
      </c>
      <c r="J22" s="296">
        <f t="shared" si="5"/>
        <v>3.1</v>
      </c>
      <c r="L22" s="297"/>
      <c r="M22" s="38"/>
      <c r="N22" s="293" t="s">
        <v>594</v>
      </c>
      <c r="O22" s="10"/>
      <c r="P22" s="11"/>
      <c r="Q22" s="296">
        <f t="shared" ref="Q22:T22" si="6">IFERROR(SUM(Q16:Q21),0)</f>
        <v>391</v>
      </c>
      <c r="R22" s="296">
        <f t="shared" si="6"/>
        <v>45.2</v>
      </c>
      <c r="S22" s="296">
        <f t="shared" si="6"/>
        <v>45.6</v>
      </c>
      <c r="T22" s="296">
        <f t="shared" si="6"/>
        <v>3.05</v>
      </c>
      <c r="U22" s="253"/>
    </row>
    <row r="23" ht="7.5" customHeight="1">
      <c r="A23" s="247"/>
      <c r="B23" s="266"/>
      <c r="C23" s="301"/>
      <c r="D23" s="301"/>
      <c r="E23" s="301"/>
      <c r="F23" s="301"/>
      <c r="G23" s="301"/>
      <c r="H23" s="301"/>
      <c r="I23" s="301"/>
      <c r="J23" s="302"/>
      <c r="L23" s="266"/>
      <c r="M23" s="190"/>
      <c r="N23" s="190"/>
      <c r="O23" s="190"/>
      <c r="P23" s="190"/>
      <c r="Q23" s="190"/>
      <c r="R23" s="190"/>
      <c r="S23" s="190"/>
      <c r="T23" s="191"/>
      <c r="U23" s="253"/>
    </row>
    <row r="24">
      <c r="A24" s="247"/>
      <c r="B24" s="269" t="s">
        <v>600</v>
      </c>
      <c r="C24" s="270"/>
      <c r="D24" s="271" t="s">
        <v>596</v>
      </c>
      <c r="E24" s="271" t="str">
        <f>IF(ISBLANK(D24),"",IFERROR((VLOOKUP(D24,'Food List'!$C:$H,2,FALSE)),""))</f>
        <v>100g</v>
      </c>
      <c r="F24" s="271">
        <v>1.5</v>
      </c>
      <c r="G24" s="272">
        <f>IF(ISBLANK(F24),"",IFERROR((VLOOKUP(D24,'Food List'!$C:$H,3,FALSE))*F24,""))</f>
        <v>159</v>
      </c>
      <c r="H24" s="273">
        <f>IF(ISBLANK(F24),"",IFERROR((VLOOKUP(D24,'Food List'!$C:$H,4,FALSE))*F24,""))</f>
        <v>36</v>
      </c>
      <c r="I24" s="274">
        <f>IF(ISBLANK(F24),"",IFERROR((VLOOKUP(D24,'Food List'!$C:$H,5,FALSE))*F24,""))</f>
        <v>0</v>
      </c>
      <c r="J24" s="274">
        <f>IF(ISBLANK(F24),"",IFERROR((VLOOKUP(D24,'Food List'!$C:$H,6,FALSE))*F24,""))</f>
        <v>1.65</v>
      </c>
      <c r="L24" s="269" t="s">
        <v>600</v>
      </c>
      <c r="M24" s="276"/>
      <c r="N24" s="271" t="s">
        <v>601</v>
      </c>
      <c r="O24" s="271" t="str">
        <f>IF(ISBLANK(N24),"",IFERROR((VLOOKUP(N24,'Food List'!$C:$H,2,FALSE)),""))</f>
        <v>100g</v>
      </c>
      <c r="P24" s="271">
        <v>1.0</v>
      </c>
      <c r="Q24" s="272">
        <f>IF(ISBLANK(P24),"",IFERROR((VLOOKUP(N24,'Food List'!$C:$H,3,FALSE))*P24,""))</f>
        <v>179</v>
      </c>
      <c r="R24" s="273">
        <f>IF(ISBLANK(P24),"",IFERROR((VLOOKUP(N24,'Food List'!$C:$H,4,FALSE))*P24,""))</f>
        <v>22.1</v>
      </c>
      <c r="S24" s="274">
        <f>IF(ISBLANK(P24),"",IFERROR((VLOOKUP(N24,'Food List'!$C:$H,5,FALSE))*P24,""))</f>
        <v>0</v>
      </c>
      <c r="T24" s="274">
        <f>IF(ISBLANK(P24),"",IFERROR((VLOOKUP(N24,'Food List'!$C:$H,6,FALSE))*P24,""))</f>
        <v>10.1</v>
      </c>
      <c r="U24" s="253"/>
    </row>
    <row r="25">
      <c r="A25" s="247"/>
      <c r="B25" s="277"/>
      <c r="C25" s="278"/>
      <c r="D25" s="279" t="s">
        <v>602</v>
      </c>
      <c r="E25" s="279" t="str">
        <f>IF(ISBLANK(D25),"",IFERROR((VLOOKUP(D25,'Food List'!$C:$H,2,FALSE)),""))</f>
        <v>100g</v>
      </c>
      <c r="F25" s="279">
        <v>0.6</v>
      </c>
      <c r="G25" s="280">
        <f>IF(ISBLANK(F25),"",IFERROR((VLOOKUP(D25,'Food List'!$C:$H,3,FALSE))*F25,""))</f>
        <v>209.4</v>
      </c>
      <c r="H25" s="281">
        <f>IF(ISBLANK(F25),"",IFERROR((VLOOKUP(D25,'Food List'!$C:$H,4,FALSE))*F25,""))</f>
        <v>4.5</v>
      </c>
      <c r="I25" s="282">
        <f>IF(ISBLANK(F25),"",IFERROR((VLOOKUP(D25,'Food List'!$C:$H,5,FALSE))*F25,""))</f>
        <v>46.8</v>
      </c>
      <c r="J25" s="282">
        <f>IF(ISBLANK(F25),"",IFERROR((VLOOKUP(D25,'Food List'!$C:$H,6,FALSE))*F25,""))</f>
        <v>0.42</v>
      </c>
      <c r="L25" s="283"/>
      <c r="M25" s="284"/>
      <c r="N25" s="279" t="s">
        <v>602</v>
      </c>
      <c r="O25" s="279" t="str">
        <f>IF(ISBLANK(N25),"",IFERROR((VLOOKUP(N25,'Food List'!$C:$H,2,FALSE)),""))</f>
        <v>100g</v>
      </c>
      <c r="P25" s="279">
        <v>0.5</v>
      </c>
      <c r="Q25" s="280">
        <f>IF(ISBLANK(P25),"",IFERROR((VLOOKUP(N25,'Food List'!$C:$H,3,FALSE))*P25,""))</f>
        <v>174.5</v>
      </c>
      <c r="R25" s="281">
        <f>IF(ISBLANK(P25),"",IFERROR((VLOOKUP(N25,'Food List'!$C:$H,4,FALSE))*P25,""))</f>
        <v>3.75</v>
      </c>
      <c r="S25" s="282">
        <f>IF(ISBLANK(P25),"",IFERROR((VLOOKUP(N25,'Food List'!$C:$H,5,FALSE))*P25,""))</f>
        <v>39</v>
      </c>
      <c r="T25" s="282">
        <f>IF(ISBLANK(P25),"",IFERROR((VLOOKUP(N25,'Food List'!$C:$H,6,FALSE))*P25,""))</f>
        <v>0.35</v>
      </c>
      <c r="U25" s="253"/>
    </row>
    <row r="26">
      <c r="A26" s="247"/>
      <c r="B26" s="285"/>
      <c r="C26" s="286"/>
      <c r="D26" s="279" t="s">
        <v>597</v>
      </c>
      <c r="E26" s="279" t="str">
        <f>IF(ISBLANK(D26),"",IFERROR((VLOOKUP(D26,'Food List'!$C:$H,2,FALSE)),""))</f>
        <v>100g</v>
      </c>
      <c r="F26" s="279">
        <v>1.0</v>
      </c>
      <c r="G26" s="280">
        <f>IF(ISBLANK(F26),"",IFERROR((VLOOKUP(D26,'Food List'!$C:$H,3,FALSE))*F26,""))</f>
        <v>36</v>
      </c>
      <c r="H26" s="281">
        <f>IF(ISBLANK(F26),"",IFERROR((VLOOKUP(D26,'Food List'!$C:$H,4,FALSE))*F26,""))</f>
        <v>2.7</v>
      </c>
      <c r="I26" s="282">
        <f>IF(ISBLANK(F26),"",IFERROR((VLOOKUP(D26,'Food List'!$C:$H,5,FALSE))*F26,""))</f>
        <v>4.9</v>
      </c>
      <c r="J26" s="282">
        <f>IF(ISBLANK(F26),"",IFERROR((VLOOKUP(D26,'Food List'!$C:$H,6,FALSE))*F26,""))</f>
        <v>0.6</v>
      </c>
      <c r="L26" s="283"/>
      <c r="M26" s="284"/>
      <c r="N26" s="279" t="s">
        <v>597</v>
      </c>
      <c r="O26" s="279" t="str">
        <f>IF(ISBLANK(N26),"",IFERROR((VLOOKUP(N26,'Food List'!$C:$H,2,FALSE)),""))</f>
        <v>100g</v>
      </c>
      <c r="P26" s="279">
        <v>1.0</v>
      </c>
      <c r="Q26" s="280">
        <f>IF(ISBLANK(P26),"",IFERROR((VLOOKUP(N26,'Food List'!$C:$H,3,FALSE))*P26,""))</f>
        <v>36</v>
      </c>
      <c r="R26" s="281">
        <f>IF(ISBLANK(P26),"",IFERROR((VLOOKUP(N26,'Food List'!$C:$H,4,FALSE))*P26,""))</f>
        <v>2.7</v>
      </c>
      <c r="S26" s="282">
        <f>IF(ISBLANK(P26),"",IFERROR((VLOOKUP(N26,'Food List'!$C:$H,5,FALSE))*P26,""))</f>
        <v>4.9</v>
      </c>
      <c r="T26" s="282">
        <f>IF(ISBLANK(P26),"",IFERROR((VLOOKUP(N26,'Food List'!$C:$H,6,FALSE))*P26,""))</f>
        <v>0.6</v>
      </c>
      <c r="U26" s="253"/>
    </row>
    <row r="27">
      <c r="A27" s="247"/>
      <c r="B27" s="277"/>
      <c r="C27" s="278"/>
      <c r="D27" s="279"/>
      <c r="E27" s="279" t="str">
        <f>IF(ISBLANK(D27),"",IFERROR((VLOOKUP(D27,'Food List'!$C:$H,2,FALSE)),""))</f>
        <v/>
      </c>
      <c r="F27" s="279"/>
      <c r="G27" s="280" t="str">
        <f>IF(ISBLANK(F27),"",IFERROR((VLOOKUP(D27,'Food List'!$C:$H,3,FALSE))*F27,""))</f>
        <v/>
      </c>
      <c r="H27" s="281" t="str">
        <f>IF(ISBLANK(F27),"",IFERROR((VLOOKUP(D27,'Food List'!$C:$H,4,FALSE))*F27,""))</f>
        <v/>
      </c>
      <c r="I27" s="282" t="str">
        <f>IF(ISBLANK(F27),"",IFERROR((VLOOKUP(D27,'Food List'!$C:$H,5,FALSE))*F27,""))</f>
        <v/>
      </c>
      <c r="J27" s="282" t="str">
        <f>IF(ISBLANK(F27),"",IFERROR((VLOOKUP(D27,'Food List'!$C:$H,6,FALSE))*F27,""))</f>
        <v/>
      </c>
      <c r="L27" s="283"/>
      <c r="M27" s="284"/>
      <c r="N27" s="279"/>
      <c r="O27" s="279" t="str">
        <f>IF(ISBLANK(N27),"",IFERROR((VLOOKUP(N27,'Food List'!$C:$H,2,FALSE)),""))</f>
        <v/>
      </c>
      <c r="P27" s="279"/>
      <c r="Q27" s="280" t="str">
        <f>IF(ISBLANK(P27),"",IFERROR((VLOOKUP(N27,'Food List'!$C:$H,3,FALSE))*P27,""))</f>
        <v/>
      </c>
      <c r="R27" s="281" t="str">
        <f>IF(ISBLANK(P27),"",IFERROR((VLOOKUP(N27,'Food List'!$C:$H,4,FALSE))*P27,""))</f>
        <v/>
      </c>
      <c r="S27" s="282" t="str">
        <f>IF(ISBLANK(P27),"",IFERROR((VLOOKUP(N27,'Food List'!$C:$H,5,FALSE))*P27,""))</f>
        <v/>
      </c>
      <c r="T27" s="282" t="str">
        <f>IF(ISBLANK(P27),"",IFERROR((VLOOKUP(N27,'Food List'!$C:$H,6,FALSE))*P27,""))</f>
        <v/>
      </c>
      <c r="U27" s="253"/>
    </row>
    <row r="28">
      <c r="A28" s="247"/>
      <c r="B28" s="285"/>
      <c r="C28" s="286"/>
      <c r="D28" s="279"/>
      <c r="E28" s="279" t="str">
        <f>IF(ISBLANK(D28),"",IFERROR((VLOOKUP(D28,'Food List'!$C:$H,2,FALSE)),""))</f>
        <v/>
      </c>
      <c r="F28" s="279"/>
      <c r="G28" s="280" t="str">
        <f>IF(ISBLANK(F28),"",IFERROR((VLOOKUP(D28,'Food List'!$C:$H,3,FALSE))*F28,""))</f>
        <v/>
      </c>
      <c r="H28" s="281" t="str">
        <f>IF(ISBLANK(F28),"",IFERROR((VLOOKUP(D28,'Food List'!$C:$H,4,FALSE))*F28,""))</f>
        <v/>
      </c>
      <c r="I28" s="282" t="str">
        <f>IF(ISBLANK(F28),"",IFERROR((VLOOKUP(D28,'Food List'!$C:$H,5,FALSE))*F28,""))</f>
        <v/>
      </c>
      <c r="J28" s="282" t="str">
        <f>IF(ISBLANK(F28),"",IFERROR((VLOOKUP(D28,'Food List'!$C:$H,6,FALSE))*F28,""))</f>
        <v/>
      </c>
      <c r="L28" s="283"/>
      <c r="M28" s="284"/>
      <c r="N28" s="279"/>
      <c r="O28" s="279" t="str">
        <f>IF(ISBLANK(N28),"",IFERROR((VLOOKUP(N28,'Food List'!$C:$H,2,FALSE)),""))</f>
        <v/>
      </c>
      <c r="P28" s="279"/>
      <c r="Q28" s="280" t="str">
        <f>IF(ISBLANK(P28),"",IFERROR((VLOOKUP(N28,'Food List'!$C:$H,3,FALSE))*P28,""))</f>
        <v/>
      </c>
      <c r="R28" s="281" t="str">
        <f>IF(ISBLANK(P28),"",IFERROR((VLOOKUP(N28,'Food List'!$C:$H,4,FALSE))*P28,""))</f>
        <v/>
      </c>
      <c r="S28" s="282" t="str">
        <f>IF(ISBLANK(P28),"",IFERROR((VLOOKUP(N28,'Food List'!$C:$H,5,FALSE))*P28,""))</f>
        <v/>
      </c>
      <c r="T28" s="282" t="str">
        <f>IF(ISBLANK(P28),"",IFERROR((VLOOKUP(N28,'Food List'!$C:$H,6,FALSE))*P28,""))</f>
        <v/>
      </c>
      <c r="U28" s="253"/>
    </row>
    <row r="29">
      <c r="A29" s="247"/>
      <c r="B29" s="277"/>
      <c r="C29" s="278"/>
      <c r="D29" s="287"/>
      <c r="E29" s="287" t="str">
        <f>IF(ISBLANK(D29),"",IFERROR((VLOOKUP(D29,'Food List'!$C:$H,2,FALSE)),""))</f>
        <v/>
      </c>
      <c r="F29" s="287"/>
      <c r="G29" s="288" t="str">
        <f>IF(ISBLANK(F29),"",IFERROR((VLOOKUP(D29,'Food List'!$C:$H,3,FALSE))*F29,""))</f>
        <v/>
      </c>
      <c r="H29" s="289" t="str">
        <f>IF(ISBLANK(F29),"",IFERROR((VLOOKUP(D29,'Food List'!$C:$H,4,FALSE))*F29,""))</f>
        <v/>
      </c>
      <c r="I29" s="290" t="str">
        <f>IF(ISBLANK(F29),"",IFERROR((VLOOKUP(D29,'Food List'!$C:$H,5,FALSE))*F29,""))</f>
        <v/>
      </c>
      <c r="J29" s="290" t="str">
        <f>IF(ISBLANK(F29),"",IFERROR((VLOOKUP(D29,'Food List'!$C:$H,6,FALSE))*F29,""))</f>
        <v/>
      </c>
      <c r="L29" s="283"/>
      <c r="M29" s="284"/>
      <c r="N29" s="287"/>
      <c r="O29" s="287" t="str">
        <f>IF(ISBLANK(N29),"",IFERROR((VLOOKUP(N29,'Food List'!$C:$H,2,FALSE)),""))</f>
        <v/>
      </c>
      <c r="P29" s="287"/>
      <c r="Q29" s="288" t="str">
        <f>IF(ISBLANK(P29),"",IFERROR((VLOOKUP(N29,'Food List'!$C:$H,3,FALSE))*P29,""))</f>
        <v/>
      </c>
      <c r="R29" s="289" t="str">
        <f>IF(ISBLANK(P29),"",IFERROR((VLOOKUP(N29,'Food List'!$C:$H,4,FALSE))*P29,""))</f>
        <v/>
      </c>
      <c r="S29" s="290" t="str">
        <f>IF(ISBLANK(P29),"",IFERROR((VLOOKUP(N29,'Food List'!$C:$H,5,FALSE))*P29,""))</f>
        <v/>
      </c>
      <c r="T29" s="290" t="str">
        <f>IF(ISBLANK(P29),"",IFERROR((VLOOKUP(N29,'Food List'!$C:$H,6,FALSE))*P29,""))</f>
        <v/>
      </c>
      <c r="U29" s="253"/>
    </row>
    <row r="30" ht="18.75" customHeight="1">
      <c r="A30" s="247"/>
      <c r="B30" s="291"/>
      <c r="C30" s="292"/>
      <c r="D30" s="293" t="s">
        <v>594</v>
      </c>
      <c r="E30" s="294"/>
      <c r="F30" s="295"/>
      <c r="G30" s="296">
        <f t="shared" ref="G30:J30" si="7">IFERROR(SUM(G24:G29),0)</f>
        <v>404.4</v>
      </c>
      <c r="H30" s="296">
        <f t="shared" si="7"/>
        <v>43.2</v>
      </c>
      <c r="I30" s="296">
        <f t="shared" si="7"/>
        <v>51.7</v>
      </c>
      <c r="J30" s="296">
        <f t="shared" si="7"/>
        <v>2.67</v>
      </c>
      <c r="L30" s="297"/>
      <c r="M30" s="38"/>
      <c r="N30" s="293" t="s">
        <v>594</v>
      </c>
      <c r="O30" s="10"/>
      <c r="P30" s="11"/>
      <c r="Q30" s="296">
        <f t="shared" ref="Q30:T30" si="8">IFERROR(SUM(Q24:Q29),0)</f>
        <v>389.5</v>
      </c>
      <c r="R30" s="296">
        <f t="shared" si="8"/>
        <v>28.55</v>
      </c>
      <c r="S30" s="296">
        <f t="shared" si="8"/>
        <v>43.9</v>
      </c>
      <c r="T30" s="296">
        <f t="shared" si="8"/>
        <v>11.05</v>
      </c>
      <c r="U30" s="253"/>
    </row>
    <row r="31" ht="7.5" customHeight="1">
      <c r="A31" s="247"/>
      <c r="B31" s="266"/>
      <c r="C31" s="301"/>
      <c r="D31" s="301"/>
      <c r="E31" s="301"/>
      <c r="F31" s="301"/>
      <c r="G31" s="301"/>
      <c r="H31" s="301"/>
      <c r="I31" s="301"/>
      <c r="J31" s="302"/>
      <c r="L31" s="266"/>
      <c r="M31" s="190"/>
      <c r="N31" s="190"/>
      <c r="O31" s="190"/>
      <c r="P31" s="190"/>
      <c r="Q31" s="190"/>
      <c r="R31" s="190"/>
      <c r="S31" s="190"/>
      <c r="T31" s="191"/>
      <c r="U31" s="253"/>
    </row>
    <row r="32">
      <c r="A32" s="247"/>
      <c r="B32" s="269" t="s">
        <v>603</v>
      </c>
      <c r="C32" s="270"/>
      <c r="D32" s="271" t="s">
        <v>604</v>
      </c>
      <c r="E32" s="271" t="str">
        <f>IF(ISBLANK(D32),"",IFERROR((VLOOKUP(D32,'Food List'!$C:$H,2,FALSE)),""))</f>
        <v>1 Bar</v>
      </c>
      <c r="F32" s="271">
        <v>1.0</v>
      </c>
      <c r="G32" s="272">
        <f>IF(ISBLANK(F32),"",IFERROR((VLOOKUP(D32,'Food List'!$C:$H,3,FALSE))*F32,""))</f>
        <v>200</v>
      </c>
      <c r="H32" s="273">
        <f>IF(ISBLANK(F32),"",IFERROR((VLOOKUP(D32,'Food List'!$C:$H,4,FALSE))*F32,""))</f>
        <v>20</v>
      </c>
      <c r="I32" s="274">
        <f>IF(ISBLANK(F32),"",IFERROR((VLOOKUP(D32,'Food List'!$C:$H,5,FALSE))*F32,""))</f>
        <v>20</v>
      </c>
      <c r="J32" s="274">
        <f>IF(ISBLANK(F32),"",IFERROR((VLOOKUP(D32,'Food List'!$C:$H,6,FALSE))*F32,""))</f>
        <v>5</v>
      </c>
      <c r="L32" s="269" t="s">
        <v>603</v>
      </c>
      <c r="M32" s="276"/>
      <c r="N32" s="271"/>
      <c r="O32" s="271" t="str">
        <f>IF(ISBLANK(N32),"",IFERROR((VLOOKUP(N32,'Food List'!$C:$H,2,FALSE)),""))</f>
        <v/>
      </c>
      <c r="P32" s="271"/>
      <c r="Q32" s="272" t="str">
        <f>IF(ISBLANK(P32),"",IFERROR((VLOOKUP(N32,'Food List'!$C:$H,3,FALSE))*P32,""))</f>
        <v/>
      </c>
      <c r="R32" s="273" t="str">
        <f>IF(ISBLANK(P32),"",IFERROR((VLOOKUP(N32,'Food List'!$C:$H,4,FALSE))*P32,""))</f>
        <v/>
      </c>
      <c r="S32" s="274" t="str">
        <f>IF(ISBLANK(P32),"",IFERROR((VLOOKUP(N32,'Food List'!$C:$H,5,FALSE))*P32,""))</f>
        <v/>
      </c>
      <c r="T32" s="274" t="str">
        <f>IF(ISBLANK(P32),"",IFERROR((VLOOKUP(N32,'Food List'!$C:$H,6,FALSE))*P32,""))</f>
        <v/>
      </c>
      <c r="U32" s="253"/>
    </row>
    <row r="33">
      <c r="A33" s="247"/>
      <c r="B33" s="277"/>
      <c r="C33" s="278"/>
      <c r="D33" s="279" t="s">
        <v>605</v>
      </c>
      <c r="E33" s="279" t="str">
        <f>IF(ISBLANK(D33),"",IFERROR((VLOOKUP(D33,'Food List'!$C:$H,2,FALSE)),""))</f>
        <v>100g</v>
      </c>
      <c r="F33" s="279">
        <v>1.3</v>
      </c>
      <c r="G33" s="280">
        <f>IF(ISBLANK(F33),"",IFERROR((VLOOKUP(D33,'Food List'!$C:$H,3,FALSE))*F33,""))</f>
        <v>111.8</v>
      </c>
      <c r="H33" s="281">
        <f>IF(ISBLANK(F33),"",IFERROR((VLOOKUP(D33,'Food List'!$C:$H,4,FALSE))*F33,""))</f>
        <v>1.56</v>
      </c>
      <c r="I33" s="282">
        <f>IF(ISBLANK(F33),"",IFERROR((VLOOKUP(D33,'Food List'!$C:$H,5,FALSE))*F33,""))</f>
        <v>26</v>
      </c>
      <c r="J33" s="282">
        <f>IF(ISBLANK(F33),"",IFERROR((VLOOKUP(D33,'Food List'!$C:$H,6,FALSE))*F33,""))</f>
        <v>0.13</v>
      </c>
      <c r="L33" s="283"/>
      <c r="M33" s="284"/>
      <c r="N33" s="279"/>
      <c r="O33" s="279" t="str">
        <f>IF(ISBLANK(N33),"",IFERROR((VLOOKUP(N33,'Food List'!$C:$H,2,FALSE)),""))</f>
        <v/>
      </c>
      <c r="P33" s="279"/>
      <c r="Q33" s="280" t="str">
        <f>IF(ISBLANK(P33),"",IFERROR((VLOOKUP(N33,'Food List'!$C:$H,3,FALSE))*P33,""))</f>
        <v/>
      </c>
      <c r="R33" s="281" t="str">
        <f>IF(ISBLANK(P33),"",IFERROR((VLOOKUP(N33,'Food List'!$C:$H,4,FALSE))*P33,""))</f>
        <v/>
      </c>
      <c r="S33" s="282" t="str">
        <f>IF(ISBLANK(P33),"",IFERROR((VLOOKUP(N33,'Food List'!$C:$H,5,FALSE))*P33,""))</f>
        <v/>
      </c>
      <c r="T33" s="282" t="str">
        <f>IF(ISBLANK(P33),"",IFERROR((VLOOKUP(N33,'Food List'!$C:$H,6,FALSE))*P33,""))</f>
        <v/>
      </c>
      <c r="U33" s="253"/>
    </row>
    <row r="34">
      <c r="A34" s="247"/>
      <c r="B34" s="285"/>
      <c r="C34" s="286"/>
      <c r="D34" s="279"/>
      <c r="E34" s="279" t="str">
        <f>IF(ISBLANK(D34),"",IFERROR((VLOOKUP(D34,'Food List'!$C:$H,2,FALSE)),""))</f>
        <v/>
      </c>
      <c r="F34" s="279"/>
      <c r="G34" s="280" t="str">
        <f>IF(ISBLANK(F34),"",IFERROR((VLOOKUP(D34,'Food List'!$C:$H,3,FALSE))*F34,""))</f>
        <v/>
      </c>
      <c r="H34" s="281" t="str">
        <f>IF(ISBLANK(F34),"",IFERROR((VLOOKUP(D34,'Food List'!$C:$H,4,FALSE))*F34,""))</f>
        <v/>
      </c>
      <c r="I34" s="282" t="str">
        <f>IF(ISBLANK(F34),"",IFERROR((VLOOKUP(D34,'Food List'!$C:$H,5,FALSE))*F34,""))</f>
        <v/>
      </c>
      <c r="J34" s="282" t="str">
        <f>IF(ISBLANK(F34),"",IFERROR((VLOOKUP(D34,'Food List'!$C:$H,6,FALSE))*F34,""))</f>
        <v/>
      </c>
      <c r="L34" s="283"/>
      <c r="M34" s="284"/>
      <c r="N34" s="279"/>
      <c r="O34" s="279" t="str">
        <f>IF(ISBLANK(N34),"",IFERROR((VLOOKUP(N34,'Food List'!$C:$H,2,FALSE)),""))</f>
        <v/>
      </c>
      <c r="P34" s="279"/>
      <c r="Q34" s="280" t="str">
        <f>IF(ISBLANK(P34),"",IFERROR((VLOOKUP(N34,'Food List'!$C:$H,3,FALSE))*P34,""))</f>
        <v/>
      </c>
      <c r="R34" s="281" t="str">
        <f>IF(ISBLANK(P34),"",IFERROR((VLOOKUP(N34,'Food List'!$C:$H,4,FALSE))*P34,""))</f>
        <v/>
      </c>
      <c r="S34" s="282" t="str">
        <f>IF(ISBLANK(P34),"",IFERROR((VLOOKUP(N34,'Food List'!$C:$H,5,FALSE))*P34,""))</f>
        <v/>
      </c>
      <c r="T34" s="282" t="str">
        <f>IF(ISBLANK(P34),"",IFERROR((VLOOKUP(N34,'Food List'!$C:$H,6,FALSE))*P34,""))</f>
        <v/>
      </c>
      <c r="U34" s="253"/>
    </row>
    <row r="35">
      <c r="A35" s="247"/>
      <c r="B35" s="277"/>
      <c r="C35" s="278"/>
      <c r="D35" s="279"/>
      <c r="E35" s="279" t="str">
        <f>IF(ISBLANK(D35),"",IFERROR((VLOOKUP(D35,'Food List'!$C:$H,2,FALSE)),""))</f>
        <v/>
      </c>
      <c r="F35" s="279"/>
      <c r="G35" s="280" t="str">
        <f>IF(ISBLANK(F35),"",IFERROR((VLOOKUP(D35,'Food List'!$C:$H,3,FALSE))*F35,""))</f>
        <v/>
      </c>
      <c r="H35" s="281" t="str">
        <f>IF(ISBLANK(F35),"",IFERROR((VLOOKUP(D35,'Food List'!$C:$H,4,FALSE))*F35,""))</f>
        <v/>
      </c>
      <c r="I35" s="282" t="str">
        <f>IF(ISBLANK(F35),"",IFERROR((VLOOKUP(D35,'Food List'!$C:$H,5,FALSE))*F35,""))</f>
        <v/>
      </c>
      <c r="J35" s="282" t="str">
        <f>IF(ISBLANK(F35),"",IFERROR((VLOOKUP(D35,'Food List'!$C:$H,6,FALSE))*F35,""))</f>
        <v/>
      </c>
      <c r="L35" s="283"/>
      <c r="M35" s="284"/>
      <c r="N35" s="279"/>
      <c r="O35" s="279" t="str">
        <f>IF(ISBLANK(N35),"",IFERROR((VLOOKUP(N35,'Food List'!$C:$H,2,FALSE)),""))</f>
        <v/>
      </c>
      <c r="P35" s="279"/>
      <c r="Q35" s="280" t="str">
        <f>IF(ISBLANK(P35),"",IFERROR((VLOOKUP(N35,'Food List'!$C:$H,3,FALSE))*P35,""))</f>
        <v/>
      </c>
      <c r="R35" s="281" t="str">
        <f>IF(ISBLANK(P35),"",IFERROR((VLOOKUP(N35,'Food List'!$C:$H,4,FALSE))*P35,""))</f>
        <v/>
      </c>
      <c r="S35" s="282" t="str">
        <f>IF(ISBLANK(P35),"",IFERROR((VLOOKUP(N35,'Food List'!$C:$H,5,FALSE))*P35,""))</f>
        <v/>
      </c>
      <c r="T35" s="282" t="str">
        <f>IF(ISBLANK(P35),"",IFERROR((VLOOKUP(N35,'Food List'!$C:$H,6,FALSE))*P35,""))</f>
        <v/>
      </c>
      <c r="U35" s="253"/>
    </row>
    <row r="36">
      <c r="A36" s="247"/>
      <c r="B36" s="285"/>
      <c r="C36" s="286"/>
      <c r="D36" s="279"/>
      <c r="E36" s="279" t="str">
        <f>IF(ISBLANK(D36),"",IFERROR((VLOOKUP(D36,'Food List'!$C:$H,2,FALSE)),""))</f>
        <v/>
      </c>
      <c r="F36" s="279"/>
      <c r="G36" s="280" t="str">
        <f>IF(ISBLANK(F36),"",IFERROR((VLOOKUP(D36,'Food List'!$C:$H,3,FALSE))*F36,""))</f>
        <v/>
      </c>
      <c r="H36" s="281" t="str">
        <f>IF(ISBLANK(F36),"",IFERROR((VLOOKUP(D36,'Food List'!$C:$H,4,FALSE))*F36,""))</f>
        <v/>
      </c>
      <c r="I36" s="282" t="str">
        <f>IF(ISBLANK(F36),"",IFERROR((VLOOKUP(D36,'Food List'!$C:$H,5,FALSE))*F36,""))</f>
        <v/>
      </c>
      <c r="J36" s="282" t="str">
        <f>IF(ISBLANK(F36),"",IFERROR((VLOOKUP(D36,'Food List'!$C:$H,6,FALSE))*F36,""))</f>
        <v/>
      </c>
      <c r="L36" s="283"/>
      <c r="M36" s="284"/>
      <c r="N36" s="279"/>
      <c r="O36" s="279" t="str">
        <f>IF(ISBLANK(N36),"",IFERROR((VLOOKUP(N36,'Food List'!$C:$H,2,FALSE)),""))</f>
        <v/>
      </c>
      <c r="P36" s="279"/>
      <c r="Q36" s="280" t="str">
        <f>IF(ISBLANK(P36),"",IFERROR((VLOOKUP(N36,'Food List'!$C:$H,3,FALSE))*P36,""))</f>
        <v/>
      </c>
      <c r="R36" s="281" t="str">
        <f>IF(ISBLANK(P36),"",IFERROR((VLOOKUP(N36,'Food List'!$C:$H,4,FALSE))*P36,""))</f>
        <v/>
      </c>
      <c r="S36" s="282" t="str">
        <f>IF(ISBLANK(P36),"",IFERROR((VLOOKUP(N36,'Food List'!$C:$H,5,FALSE))*P36,""))</f>
        <v/>
      </c>
      <c r="T36" s="282" t="str">
        <f>IF(ISBLANK(P36),"",IFERROR((VLOOKUP(N36,'Food List'!$C:$H,6,FALSE))*P36,""))</f>
        <v/>
      </c>
      <c r="U36" s="253"/>
    </row>
    <row r="37">
      <c r="A37" s="247"/>
      <c r="B37" s="277"/>
      <c r="C37" s="278"/>
      <c r="D37" s="287"/>
      <c r="E37" s="287" t="str">
        <f>IF(ISBLANK(D37),"",IFERROR((VLOOKUP(D37,'Food List'!$C:$H,2,FALSE)),""))</f>
        <v/>
      </c>
      <c r="F37" s="287"/>
      <c r="G37" s="288" t="str">
        <f>IF(ISBLANK(F37),"",IFERROR((VLOOKUP(D37,'Food List'!$C:$H,3,FALSE))*F37,""))</f>
        <v/>
      </c>
      <c r="H37" s="289" t="str">
        <f>IF(ISBLANK(F37),"",IFERROR((VLOOKUP(D37,'Food List'!$C:$H,4,FALSE))*F37,""))</f>
        <v/>
      </c>
      <c r="I37" s="290" t="str">
        <f>IF(ISBLANK(F37),"",IFERROR((VLOOKUP(D37,'Food List'!$C:$H,5,FALSE))*F37,""))</f>
        <v/>
      </c>
      <c r="J37" s="290" t="str">
        <f>IF(ISBLANK(F37),"",IFERROR((VLOOKUP(D37,'Food List'!$C:$H,6,FALSE))*F37,""))</f>
        <v/>
      </c>
      <c r="L37" s="283"/>
      <c r="M37" s="284"/>
      <c r="N37" s="287"/>
      <c r="O37" s="287" t="str">
        <f>IF(ISBLANK(N37),"",IFERROR((VLOOKUP(N37,'Food List'!$C:$H,2,FALSE)),""))</f>
        <v/>
      </c>
      <c r="P37" s="287"/>
      <c r="Q37" s="288" t="str">
        <f>IF(ISBLANK(P37),"",IFERROR((VLOOKUP(N37,'Food List'!$C:$H,3,FALSE))*P37,""))</f>
        <v/>
      </c>
      <c r="R37" s="289" t="str">
        <f>IF(ISBLANK(P37),"",IFERROR((VLOOKUP(N37,'Food List'!$C:$H,4,FALSE))*P37,""))</f>
        <v/>
      </c>
      <c r="S37" s="290" t="str">
        <f>IF(ISBLANK(P37),"",IFERROR((VLOOKUP(N37,'Food List'!$C:$H,5,FALSE))*P37,""))</f>
        <v/>
      </c>
      <c r="T37" s="290" t="str">
        <f>IF(ISBLANK(P37),"",IFERROR((VLOOKUP(N37,'Food List'!$C:$H,6,FALSE))*P37,""))</f>
        <v/>
      </c>
      <c r="U37" s="253"/>
    </row>
    <row r="38" ht="18.75" customHeight="1">
      <c r="A38" s="247"/>
      <c r="B38" s="291"/>
      <c r="C38" s="292"/>
      <c r="D38" s="293" t="s">
        <v>594</v>
      </c>
      <c r="E38" s="294"/>
      <c r="F38" s="295"/>
      <c r="G38" s="296">
        <f t="shared" ref="G38:J38" si="9">IFERROR(SUM(G32:G37),0)</f>
        <v>311.8</v>
      </c>
      <c r="H38" s="296">
        <f t="shared" si="9"/>
        <v>21.56</v>
      </c>
      <c r="I38" s="296">
        <f t="shared" si="9"/>
        <v>46</v>
      </c>
      <c r="J38" s="296">
        <f t="shared" si="9"/>
        <v>5.13</v>
      </c>
      <c r="L38" s="297"/>
      <c r="M38" s="38"/>
      <c r="N38" s="293" t="s">
        <v>594</v>
      </c>
      <c r="O38" s="10"/>
      <c r="P38" s="11"/>
      <c r="Q38" s="296">
        <f t="shared" ref="Q38:T38" si="10">IFERROR(SUM(Q32:Q37),0)</f>
        <v>0</v>
      </c>
      <c r="R38" s="296">
        <f t="shared" si="10"/>
        <v>0</v>
      </c>
      <c r="S38" s="296">
        <f t="shared" si="10"/>
        <v>0</v>
      </c>
      <c r="T38" s="296">
        <f t="shared" si="10"/>
        <v>0</v>
      </c>
      <c r="U38" s="253"/>
    </row>
    <row r="39" ht="7.5" customHeight="1">
      <c r="A39" s="247"/>
      <c r="B39" s="266"/>
      <c r="C39" s="301"/>
      <c r="D39" s="301"/>
      <c r="E39" s="301"/>
      <c r="F39" s="301"/>
      <c r="G39" s="301"/>
      <c r="H39" s="301"/>
      <c r="I39" s="301"/>
      <c r="J39" s="302"/>
      <c r="L39" s="266"/>
      <c r="M39" s="190"/>
      <c r="N39" s="190"/>
      <c r="O39" s="190"/>
      <c r="P39" s="190"/>
      <c r="Q39" s="190"/>
      <c r="R39" s="190"/>
      <c r="S39" s="190"/>
      <c r="T39" s="191"/>
      <c r="U39" s="253"/>
    </row>
    <row r="40">
      <c r="A40" s="247"/>
      <c r="B40" s="269" t="s">
        <v>606</v>
      </c>
      <c r="C40" s="270"/>
      <c r="D40" s="271"/>
      <c r="E40" s="271" t="str">
        <f>IF(ISBLANK(D40),"",IFERROR((VLOOKUP(D40,'Food List'!$C:$H,2,FALSE)),""))</f>
        <v/>
      </c>
      <c r="F40" s="271"/>
      <c r="G40" s="272" t="str">
        <f>IF(ISBLANK(F40),"",IFERROR((VLOOKUP(D40,'Food List'!$C:$H,3,FALSE))*F40,""))</f>
        <v/>
      </c>
      <c r="H40" s="273" t="str">
        <f>IF(ISBLANK(F40),"",IFERROR((VLOOKUP(D40,'Food List'!$C:$H,4,FALSE))*F40,""))</f>
        <v/>
      </c>
      <c r="I40" s="274" t="str">
        <f>IF(ISBLANK(F40),"",IFERROR((VLOOKUP(D40,'Food List'!$C:$H,5,FALSE))*F40,""))</f>
        <v/>
      </c>
      <c r="J40" s="274" t="str">
        <f>IF(ISBLANK(F40),"",IFERROR((VLOOKUP(D40,'Food List'!$C:$H,6,FALSE))*F40,""))</f>
        <v/>
      </c>
      <c r="L40" s="269" t="s">
        <v>606</v>
      </c>
      <c r="M40" s="276"/>
      <c r="N40" s="271"/>
      <c r="O40" s="271" t="str">
        <f>IF(ISBLANK(N40),"",IFERROR((VLOOKUP(N40,'Food List'!$C:$H,2,FALSE)),""))</f>
        <v/>
      </c>
      <c r="P40" s="271"/>
      <c r="Q40" s="272" t="str">
        <f>IF(ISBLANK(P40),"",IFERROR((VLOOKUP(N40,'Food List'!$C:$H,3,FALSE))*P40,""))</f>
        <v/>
      </c>
      <c r="R40" s="273" t="str">
        <f>IF(ISBLANK(P40),"",IFERROR((VLOOKUP(N40,'Food List'!$C:$H,4,FALSE))*P40,""))</f>
        <v/>
      </c>
      <c r="S40" s="274" t="str">
        <f>IF(ISBLANK(P40),"",IFERROR((VLOOKUP(N40,'Food List'!$C:$H,5,FALSE))*P40,""))</f>
        <v/>
      </c>
      <c r="T40" s="274" t="str">
        <f>IF(ISBLANK(P40),"",IFERROR((VLOOKUP(N40,'Food List'!$C:$H,6,FALSE))*P40,""))</f>
        <v/>
      </c>
      <c r="U40" s="253"/>
    </row>
    <row r="41">
      <c r="A41" s="247"/>
      <c r="B41" s="277"/>
      <c r="C41" s="278"/>
      <c r="D41" s="279"/>
      <c r="E41" s="279" t="str">
        <f>IF(ISBLANK(D41),"",IFERROR((VLOOKUP(D41,'Food List'!$C:$H,2,FALSE)),""))</f>
        <v/>
      </c>
      <c r="F41" s="279"/>
      <c r="G41" s="280" t="str">
        <f>IF(ISBLANK(F41),"",IFERROR((VLOOKUP(D41,'Food List'!$C:$H,3,FALSE))*F41,""))</f>
        <v/>
      </c>
      <c r="H41" s="281" t="str">
        <f>IF(ISBLANK(F41),"",IFERROR((VLOOKUP(D41,'Food List'!$C:$H,4,FALSE))*F41,""))</f>
        <v/>
      </c>
      <c r="I41" s="282" t="str">
        <f>IF(ISBLANK(F41),"",IFERROR((VLOOKUP(D41,'Food List'!$C:$H,5,FALSE))*F41,""))</f>
        <v/>
      </c>
      <c r="J41" s="282" t="str">
        <f>IF(ISBLANK(F41),"",IFERROR((VLOOKUP(D41,'Food List'!$C:$H,6,FALSE))*F41,""))</f>
        <v/>
      </c>
      <c r="L41" s="283"/>
      <c r="M41" s="284"/>
      <c r="N41" s="279"/>
      <c r="O41" s="279" t="str">
        <f>IF(ISBLANK(N41),"",IFERROR((VLOOKUP(N41,'Food List'!$C:$H,2,FALSE)),""))</f>
        <v/>
      </c>
      <c r="P41" s="279"/>
      <c r="Q41" s="280" t="str">
        <f>IF(ISBLANK(P41),"",IFERROR((VLOOKUP(N41,'Food List'!$C:$H,3,FALSE))*P41,""))</f>
        <v/>
      </c>
      <c r="R41" s="281" t="str">
        <f>IF(ISBLANK(P41),"",IFERROR((VLOOKUP(N41,'Food List'!$C:$H,4,FALSE))*P41,""))</f>
        <v/>
      </c>
      <c r="S41" s="282" t="str">
        <f>IF(ISBLANK(P41),"",IFERROR((VLOOKUP(N41,'Food List'!$C:$H,5,FALSE))*P41,""))</f>
        <v/>
      </c>
      <c r="T41" s="282" t="str">
        <f>IF(ISBLANK(P41),"",IFERROR((VLOOKUP(N41,'Food List'!$C:$H,6,FALSE))*P41,""))</f>
        <v/>
      </c>
      <c r="U41" s="253"/>
    </row>
    <row r="42">
      <c r="A42" s="247"/>
      <c r="B42" s="285"/>
      <c r="C42" s="286"/>
      <c r="D42" s="279"/>
      <c r="E42" s="279" t="str">
        <f>IF(ISBLANK(D42),"",IFERROR((VLOOKUP(D42,'Food List'!$C:$H,2,FALSE)),""))</f>
        <v/>
      </c>
      <c r="F42" s="279"/>
      <c r="G42" s="280" t="str">
        <f>IF(ISBLANK(F42),"",IFERROR((VLOOKUP(D42,'Food List'!$C:$H,3,FALSE))*F42,""))</f>
        <v/>
      </c>
      <c r="H42" s="281" t="str">
        <f>IF(ISBLANK(F42),"",IFERROR((VLOOKUP(D42,'Food List'!$C:$H,4,FALSE))*F42,""))</f>
        <v/>
      </c>
      <c r="I42" s="282" t="str">
        <f>IF(ISBLANK(F42),"",IFERROR((VLOOKUP(D42,'Food List'!$C:$H,5,FALSE))*F42,""))</f>
        <v/>
      </c>
      <c r="J42" s="282" t="str">
        <f>IF(ISBLANK(F42),"",IFERROR((VLOOKUP(D42,'Food List'!$C:$H,6,FALSE))*F42,""))</f>
        <v/>
      </c>
      <c r="L42" s="283"/>
      <c r="M42" s="284"/>
      <c r="N42" s="279"/>
      <c r="O42" s="279" t="str">
        <f>IF(ISBLANK(N42),"",IFERROR((VLOOKUP(N42,'Food List'!$C:$H,2,FALSE)),""))</f>
        <v/>
      </c>
      <c r="P42" s="279"/>
      <c r="Q42" s="280" t="str">
        <f>IF(ISBLANK(P42),"",IFERROR((VLOOKUP(N42,'Food List'!$C:$H,3,FALSE))*P42,""))</f>
        <v/>
      </c>
      <c r="R42" s="281" t="str">
        <f>IF(ISBLANK(P42),"",IFERROR((VLOOKUP(N42,'Food List'!$C:$H,4,FALSE))*P42,""))</f>
        <v/>
      </c>
      <c r="S42" s="282" t="str">
        <f>IF(ISBLANK(P42),"",IFERROR((VLOOKUP(N42,'Food List'!$C:$H,5,FALSE))*P42,""))</f>
        <v/>
      </c>
      <c r="T42" s="282" t="str">
        <f>IF(ISBLANK(P42),"",IFERROR((VLOOKUP(N42,'Food List'!$C:$H,6,FALSE))*P42,""))</f>
        <v/>
      </c>
      <c r="U42" s="253"/>
    </row>
    <row r="43">
      <c r="A43" s="247"/>
      <c r="B43" s="277"/>
      <c r="C43" s="278"/>
      <c r="D43" s="279"/>
      <c r="E43" s="279" t="str">
        <f>IF(ISBLANK(D43),"",IFERROR((VLOOKUP(D43,'Food List'!$C:$H,2,FALSE)),""))</f>
        <v/>
      </c>
      <c r="F43" s="279"/>
      <c r="G43" s="280" t="str">
        <f>IF(ISBLANK(F43),"",IFERROR((VLOOKUP(D43,'Food List'!$C:$H,3,FALSE))*F43,""))</f>
        <v/>
      </c>
      <c r="H43" s="281" t="str">
        <f>IF(ISBLANK(F43),"",IFERROR((VLOOKUP(D43,'Food List'!$C:$H,4,FALSE))*F43,""))</f>
        <v/>
      </c>
      <c r="I43" s="282" t="str">
        <f>IF(ISBLANK(F43),"",IFERROR((VLOOKUP(D43,'Food List'!$C:$H,5,FALSE))*F43,""))</f>
        <v/>
      </c>
      <c r="J43" s="282" t="str">
        <f>IF(ISBLANK(F43),"",IFERROR((VLOOKUP(D43,'Food List'!$C:$H,6,FALSE))*F43,""))</f>
        <v/>
      </c>
      <c r="L43" s="283"/>
      <c r="M43" s="284"/>
      <c r="N43" s="279"/>
      <c r="O43" s="279" t="str">
        <f>IF(ISBLANK(N43),"",IFERROR((VLOOKUP(N43,'Food List'!$C:$H,2,FALSE)),""))</f>
        <v/>
      </c>
      <c r="P43" s="279"/>
      <c r="Q43" s="280" t="str">
        <f>IF(ISBLANK(P43),"",IFERROR((VLOOKUP(N43,'Food List'!$C:$H,3,FALSE))*P43,""))</f>
        <v/>
      </c>
      <c r="R43" s="281" t="str">
        <f>IF(ISBLANK(P43),"",IFERROR((VLOOKUP(N43,'Food List'!$C:$H,4,FALSE))*P43,""))</f>
        <v/>
      </c>
      <c r="S43" s="282" t="str">
        <f>IF(ISBLANK(P43),"",IFERROR((VLOOKUP(N43,'Food List'!$C:$H,5,FALSE))*P43,""))</f>
        <v/>
      </c>
      <c r="T43" s="282" t="str">
        <f>IF(ISBLANK(P43),"",IFERROR((VLOOKUP(N43,'Food List'!$C:$H,6,FALSE))*P43,""))</f>
        <v/>
      </c>
      <c r="U43" s="253"/>
    </row>
    <row r="44">
      <c r="A44" s="247"/>
      <c r="B44" s="285"/>
      <c r="C44" s="286"/>
      <c r="D44" s="279"/>
      <c r="E44" s="279" t="str">
        <f>IF(ISBLANK(D44),"",IFERROR((VLOOKUP(D44,'Food List'!$C:$H,2,FALSE)),""))</f>
        <v/>
      </c>
      <c r="F44" s="279"/>
      <c r="G44" s="280" t="str">
        <f>IF(ISBLANK(F44),"",IFERROR((VLOOKUP(D44,'Food List'!$C:$H,3,FALSE))*F44,""))</f>
        <v/>
      </c>
      <c r="H44" s="281" t="str">
        <f>IF(ISBLANK(F44),"",IFERROR((VLOOKUP(D44,'Food List'!$C:$H,4,FALSE))*F44,""))</f>
        <v/>
      </c>
      <c r="I44" s="282" t="str">
        <f>IF(ISBLANK(F44),"",IFERROR((VLOOKUP(D44,'Food List'!$C:$H,5,FALSE))*F44,""))</f>
        <v/>
      </c>
      <c r="J44" s="282" t="str">
        <f>IF(ISBLANK(F44),"",IFERROR((VLOOKUP(D44,'Food List'!$C:$H,6,FALSE))*F44,""))</f>
        <v/>
      </c>
      <c r="L44" s="283"/>
      <c r="M44" s="284"/>
      <c r="N44" s="279"/>
      <c r="O44" s="279" t="str">
        <f>IF(ISBLANK(N44),"",IFERROR((VLOOKUP(N44,'Food List'!$C:$H,2,FALSE)),""))</f>
        <v/>
      </c>
      <c r="P44" s="279"/>
      <c r="Q44" s="280" t="str">
        <f>IF(ISBLANK(P44),"",IFERROR((VLOOKUP(N44,'Food List'!$C:$H,3,FALSE))*P44,""))</f>
        <v/>
      </c>
      <c r="R44" s="281" t="str">
        <f>IF(ISBLANK(P44),"",IFERROR((VLOOKUP(N44,'Food List'!$C:$H,4,FALSE))*P44,""))</f>
        <v/>
      </c>
      <c r="S44" s="282" t="str">
        <f>IF(ISBLANK(P44),"",IFERROR((VLOOKUP(N44,'Food List'!$C:$H,5,FALSE))*P44,""))</f>
        <v/>
      </c>
      <c r="T44" s="282" t="str">
        <f>IF(ISBLANK(P44),"",IFERROR((VLOOKUP(N44,'Food List'!$C:$H,6,FALSE))*P44,""))</f>
        <v/>
      </c>
      <c r="U44" s="253"/>
    </row>
    <row r="45">
      <c r="A45" s="247"/>
      <c r="B45" s="277"/>
      <c r="C45" s="278"/>
      <c r="D45" s="287"/>
      <c r="E45" s="287" t="str">
        <f>IF(ISBLANK(D45),"",IFERROR((VLOOKUP(D45,'Food List'!$C:$H,2,FALSE)),""))</f>
        <v/>
      </c>
      <c r="F45" s="287"/>
      <c r="G45" s="288" t="str">
        <f>IF(ISBLANK(F45),"",IFERROR((VLOOKUP(D45,'Food List'!$C:$H,3,FALSE))*F45,""))</f>
        <v/>
      </c>
      <c r="H45" s="289" t="str">
        <f>IF(ISBLANK(F45),"",IFERROR((VLOOKUP(D45,'Food List'!$C:$H,4,FALSE))*F45,""))</f>
        <v/>
      </c>
      <c r="I45" s="290" t="str">
        <f>IF(ISBLANK(F45),"",IFERROR((VLOOKUP(D45,'Food List'!$C:$H,5,FALSE))*F45,""))</f>
        <v/>
      </c>
      <c r="J45" s="290" t="str">
        <f>IF(ISBLANK(F45),"",IFERROR((VLOOKUP(D45,'Food List'!$C:$H,6,FALSE))*F45,""))</f>
        <v/>
      </c>
      <c r="L45" s="283"/>
      <c r="M45" s="284"/>
      <c r="N45" s="287"/>
      <c r="O45" s="287" t="str">
        <f>IF(ISBLANK(N45),"",IFERROR((VLOOKUP(N45,'Food List'!$C:$H,2,FALSE)),""))</f>
        <v/>
      </c>
      <c r="P45" s="287"/>
      <c r="Q45" s="288" t="str">
        <f>IF(ISBLANK(P45),"",IFERROR((VLOOKUP(N45,'Food List'!$C:$H,3,FALSE))*P45,""))</f>
        <v/>
      </c>
      <c r="R45" s="289" t="str">
        <f>IF(ISBLANK(P45),"",IFERROR((VLOOKUP(N45,'Food List'!$C:$H,4,FALSE))*P45,""))</f>
        <v/>
      </c>
      <c r="S45" s="290" t="str">
        <f>IF(ISBLANK(P45),"",IFERROR((VLOOKUP(N45,'Food List'!$C:$H,5,FALSE))*P45,""))</f>
        <v/>
      </c>
      <c r="T45" s="290" t="str">
        <f>IF(ISBLANK(P45),"",IFERROR((VLOOKUP(N45,'Food List'!$C:$H,6,FALSE))*P45,""))</f>
        <v/>
      </c>
      <c r="U45" s="253"/>
    </row>
    <row r="46" ht="18.75" customHeight="1">
      <c r="A46" s="247"/>
      <c r="B46" s="291"/>
      <c r="C46" s="292"/>
      <c r="D46" s="293" t="s">
        <v>594</v>
      </c>
      <c r="E46" s="294"/>
      <c r="F46" s="295"/>
      <c r="G46" s="296">
        <f t="shared" ref="G46:J46" si="11">IFERROR(SUM(G40:G45),0)</f>
        <v>0</v>
      </c>
      <c r="H46" s="296">
        <f t="shared" si="11"/>
        <v>0</v>
      </c>
      <c r="I46" s="296">
        <f t="shared" si="11"/>
        <v>0</v>
      </c>
      <c r="J46" s="296">
        <f t="shared" si="11"/>
        <v>0</v>
      </c>
      <c r="L46" s="297"/>
      <c r="M46" s="38"/>
      <c r="N46" s="293" t="s">
        <v>594</v>
      </c>
      <c r="O46" s="10"/>
      <c r="P46" s="11"/>
      <c r="Q46" s="296">
        <f t="shared" ref="Q46:T46" si="12">IFERROR(SUM(Q40:Q45),0)</f>
        <v>0</v>
      </c>
      <c r="R46" s="296">
        <f t="shared" si="12"/>
        <v>0</v>
      </c>
      <c r="S46" s="296">
        <f t="shared" si="12"/>
        <v>0</v>
      </c>
      <c r="T46" s="296">
        <f t="shared" si="12"/>
        <v>0</v>
      </c>
      <c r="U46" s="253"/>
    </row>
    <row r="47" ht="7.5" customHeight="1">
      <c r="A47" s="247"/>
      <c r="B47" s="249"/>
      <c r="C47" s="303"/>
      <c r="D47" s="303"/>
      <c r="E47" s="303"/>
      <c r="F47" s="303"/>
      <c r="G47" s="303"/>
      <c r="H47" s="303"/>
      <c r="I47" s="303"/>
      <c r="J47" s="304"/>
      <c r="L47" s="249"/>
      <c r="M47" s="5"/>
      <c r="N47" s="5"/>
      <c r="O47" s="5"/>
      <c r="P47" s="5"/>
      <c r="Q47" s="5"/>
      <c r="R47" s="5"/>
      <c r="S47" s="5"/>
      <c r="T47" s="6"/>
      <c r="U47" s="253"/>
    </row>
    <row r="48">
      <c r="A48" s="266"/>
      <c r="B48" s="269" t="s">
        <v>607</v>
      </c>
      <c r="C48" s="270"/>
      <c r="D48" s="271"/>
      <c r="E48" s="271" t="str">
        <f>IF(ISBLANK(D48),"",IFERROR((VLOOKUP(D48,'Food List'!$C:$H,2,FALSE)),""))</f>
        <v/>
      </c>
      <c r="F48" s="271"/>
      <c r="G48" s="272" t="str">
        <f>IF(ISBLANK(F48),"",IFERROR((VLOOKUP(D48,'Food List'!$C:$H,3,FALSE))*F48,""))</f>
        <v/>
      </c>
      <c r="H48" s="273" t="str">
        <f>IF(ISBLANK(F48),"",IFERROR((VLOOKUP(D48,'Food List'!$C:$H,4,FALSE))*F48,""))</f>
        <v/>
      </c>
      <c r="I48" s="274" t="str">
        <f>IF(ISBLANK(F48),"",IFERROR((VLOOKUP(D48,'Food List'!$C:$H,5,FALSE))*F48,""))</f>
        <v/>
      </c>
      <c r="J48" s="274" t="str">
        <f>IF(ISBLANK(F48),"",IFERROR((VLOOKUP(D48,'Food List'!$C:$H,6,FALSE))*F48,""))</f>
        <v/>
      </c>
      <c r="L48" s="269" t="s">
        <v>608</v>
      </c>
      <c r="M48" s="276"/>
      <c r="N48" s="271"/>
      <c r="O48" s="271" t="str">
        <f>IF(ISBLANK(N48),"",IFERROR((VLOOKUP(N48,'Food List'!$C:$H,2,FALSE)),""))</f>
        <v/>
      </c>
      <c r="P48" s="271"/>
      <c r="Q48" s="272" t="str">
        <f>IF(ISBLANK(P48),"",IFERROR((VLOOKUP(N48,'Food List'!$C:$H,3,FALSE))*P48,""))</f>
        <v/>
      </c>
      <c r="R48" s="273" t="str">
        <f>IF(ISBLANK(P48),"",IFERROR((VLOOKUP(N48,'Food List'!$C:$H,4,FALSE))*P48,""))</f>
        <v/>
      </c>
      <c r="S48" s="274" t="str">
        <f>IF(ISBLANK(P48),"",IFERROR((VLOOKUP(N48,'Food List'!$C:$H,5,FALSE))*P48,""))</f>
        <v/>
      </c>
      <c r="T48" s="274" t="str">
        <f>IF(ISBLANK(P48),"",IFERROR((VLOOKUP(N48,'Food List'!$C:$H,6,FALSE))*P48,""))</f>
        <v/>
      </c>
      <c r="U48" s="253"/>
    </row>
    <row r="49">
      <c r="A49" s="266"/>
      <c r="B49" s="277"/>
      <c r="C49" s="278"/>
      <c r="D49" s="279"/>
      <c r="E49" s="279" t="str">
        <f>IF(ISBLANK(D49),"",IFERROR((VLOOKUP(D49,'Food List'!$C:$H,2,FALSE)),""))</f>
        <v/>
      </c>
      <c r="F49" s="279"/>
      <c r="G49" s="280" t="str">
        <f>IF(ISBLANK(F49),"",IFERROR((VLOOKUP(D49,'Food List'!$C:$H,3,FALSE))*F49,""))</f>
        <v/>
      </c>
      <c r="H49" s="281" t="str">
        <f>IF(ISBLANK(F49),"",IFERROR((VLOOKUP(D49,'Food List'!$C:$H,4,FALSE))*F49,""))</f>
        <v/>
      </c>
      <c r="I49" s="282" t="str">
        <f>IF(ISBLANK(F49),"",IFERROR((VLOOKUP(D49,'Food List'!$C:$H,5,FALSE))*F49,""))</f>
        <v/>
      </c>
      <c r="J49" s="282" t="str">
        <f>IF(ISBLANK(F49),"",IFERROR((VLOOKUP(D49,'Food List'!$C:$H,6,FALSE))*F49,""))</f>
        <v/>
      </c>
      <c r="L49" s="283"/>
      <c r="M49" s="284"/>
      <c r="N49" s="279"/>
      <c r="O49" s="279" t="str">
        <f>IF(ISBLANK(N49),"",IFERROR((VLOOKUP(N49,'Food List'!$C:$H,2,FALSE)),""))</f>
        <v/>
      </c>
      <c r="P49" s="279"/>
      <c r="Q49" s="280" t="str">
        <f>IF(ISBLANK(P49),"",IFERROR((VLOOKUP(N49,'Food List'!$C:$H,3,FALSE))*P49,""))</f>
        <v/>
      </c>
      <c r="R49" s="281" t="str">
        <f>IF(ISBLANK(P49),"",IFERROR((VLOOKUP(N49,'Food List'!$C:$H,4,FALSE))*P49,""))</f>
        <v/>
      </c>
      <c r="S49" s="282" t="str">
        <f>IF(ISBLANK(P49),"",IFERROR((VLOOKUP(N49,'Food List'!$C:$H,5,FALSE))*P49,""))</f>
        <v/>
      </c>
      <c r="T49" s="282" t="str">
        <f>IF(ISBLANK(P49),"",IFERROR((VLOOKUP(N49,'Food List'!$C:$H,6,FALSE))*P49,""))</f>
        <v/>
      </c>
      <c r="U49" s="253"/>
    </row>
    <row r="50">
      <c r="A50" s="266"/>
      <c r="B50" s="285"/>
      <c r="C50" s="286"/>
      <c r="D50" s="279"/>
      <c r="E50" s="279" t="str">
        <f>IF(ISBLANK(D50),"",IFERROR((VLOOKUP(D50,'Food List'!$C:$H,2,FALSE)),""))</f>
        <v/>
      </c>
      <c r="F50" s="279"/>
      <c r="G50" s="280" t="str">
        <f>IF(ISBLANK(F50),"",IFERROR((VLOOKUP(D50,'Food List'!$C:$H,3,FALSE))*F50,""))</f>
        <v/>
      </c>
      <c r="H50" s="281" t="str">
        <f>IF(ISBLANK(F50),"",IFERROR((VLOOKUP(D50,'Food List'!$C:$H,4,FALSE))*F50,""))</f>
        <v/>
      </c>
      <c r="I50" s="282" t="str">
        <f>IF(ISBLANK(F50),"",IFERROR((VLOOKUP(D50,'Food List'!$C:$H,5,FALSE))*F50,""))</f>
        <v/>
      </c>
      <c r="J50" s="282" t="str">
        <f>IF(ISBLANK(F50),"",IFERROR((VLOOKUP(D50,'Food List'!$C:$H,6,FALSE))*F50,""))</f>
        <v/>
      </c>
      <c r="L50" s="283"/>
      <c r="M50" s="284"/>
      <c r="N50" s="279"/>
      <c r="O50" s="279" t="str">
        <f>IF(ISBLANK(N50),"",IFERROR((VLOOKUP(N50,'Food List'!$C:$H,2,FALSE)),""))</f>
        <v/>
      </c>
      <c r="P50" s="279"/>
      <c r="Q50" s="280" t="str">
        <f>IF(ISBLANK(P50),"",IFERROR((VLOOKUP(N50,'Food List'!$C:$H,3,FALSE))*P50,""))</f>
        <v/>
      </c>
      <c r="R50" s="281" t="str">
        <f>IF(ISBLANK(P50),"",IFERROR((VLOOKUP(N50,'Food List'!$C:$H,4,FALSE))*P50,""))</f>
        <v/>
      </c>
      <c r="S50" s="282" t="str">
        <f>IF(ISBLANK(P50),"",IFERROR((VLOOKUP(N50,'Food List'!$C:$H,5,FALSE))*P50,""))</f>
        <v/>
      </c>
      <c r="T50" s="282" t="str">
        <f>IF(ISBLANK(P50),"",IFERROR((VLOOKUP(N50,'Food List'!$C:$H,6,FALSE))*P50,""))</f>
        <v/>
      </c>
      <c r="U50" s="253"/>
    </row>
    <row r="51">
      <c r="A51" s="266"/>
      <c r="B51" s="277"/>
      <c r="C51" s="278"/>
      <c r="D51" s="287"/>
      <c r="E51" s="287" t="str">
        <f>IF(ISBLANK(D51),"",IFERROR((VLOOKUP(D51,'Food List'!$C:$H,2,FALSE)),""))</f>
        <v/>
      </c>
      <c r="F51" s="287"/>
      <c r="G51" s="288" t="str">
        <f>IF(ISBLANK(F51),"",IFERROR((VLOOKUP(D51,'Food List'!$C:$H,3,FALSE))*F51,""))</f>
        <v/>
      </c>
      <c r="H51" s="289" t="str">
        <f>IF(ISBLANK(F51),"",IFERROR((VLOOKUP(D51,'Food List'!$C:$H,4,FALSE))*F51,""))</f>
        <v/>
      </c>
      <c r="I51" s="290" t="str">
        <f>IF(ISBLANK(F51),"",IFERROR((VLOOKUP(D51,'Food List'!$C:$H,5,FALSE))*F51,""))</f>
        <v/>
      </c>
      <c r="J51" s="290" t="str">
        <f>IF(ISBLANK(F51),"",IFERROR((VLOOKUP(D51,'Food List'!$C:$H,6,FALSE))*F51,""))</f>
        <v/>
      </c>
      <c r="L51" s="283"/>
      <c r="M51" s="284"/>
      <c r="N51" s="287"/>
      <c r="O51" s="287" t="str">
        <f>IF(ISBLANK(N51),"",IFERROR((VLOOKUP(N51,'Food List'!$C:$H,2,FALSE)),""))</f>
        <v/>
      </c>
      <c r="P51" s="287"/>
      <c r="Q51" s="288" t="str">
        <f>IF(ISBLANK(P51),"",IFERROR((VLOOKUP(N51,'Food List'!$C:$H,3,FALSE))*P51,""))</f>
        <v/>
      </c>
      <c r="R51" s="289" t="str">
        <f>IF(ISBLANK(P51),"",IFERROR((VLOOKUP(N51,'Food List'!$C:$H,4,FALSE))*P51,""))</f>
        <v/>
      </c>
      <c r="S51" s="290" t="str">
        <f>IF(ISBLANK(P51),"",IFERROR((VLOOKUP(N51,'Food List'!$C:$H,5,FALSE))*P51,""))</f>
        <v/>
      </c>
      <c r="T51" s="290" t="str">
        <f>IF(ISBLANK(P51),"",IFERROR((VLOOKUP(N51,'Food List'!$C:$H,6,FALSE))*P51,""))</f>
        <v/>
      </c>
      <c r="U51" s="253"/>
    </row>
    <row r="52" ht="18.75" customHeight="1">
      <c r="A52" s="266"/>
      <c r="B52" s="291"/>
      <c r="C52" s="292"/>
      <c r="D52" s="293" t="s">
        <v>594</v>
      </c>
      <c r="E52" s="294"/>
      <c r="F52" s="295"/>
      <c r="G52" s="296">
        <f t="shared" ref="G52:J52" si="13">IFERROR(SUM(G48:G51),0)</f>
        <v>0</v>
      </c>
      <c r="H52" s="296">
        <f t="shared" si="13"/>
        <v>0</v>
      </c>
      <c r="I52" s="296">
        <f t="shared" si="13"/>
        <v>0</v>
      </c>
      <c r="J52" s="296">
        <f t="shared" si="13"/>
        <v>0</v>
      </c>
      <c r="L52" s="297"/>
      <c r="M52" s="38"/>
      <c r="N52" s="293" t="s">
        <v>594</v>
      </c>
      <c r="O52" s="10"/>
      <c r="P52" s="11"/>
      <c r="Q52" s="296">
        <f t="shared" ref="Q52:T52" si="14">IFERROR(SUM(Q48:Q51),0)</f>
        <v>0</v>
      </c>
      <c r="R52" s="296">
        <f t="shared" si="14"/>
        <v>0</v>
      </c>
      <c r="S52" s="296">
        <f t="shared" si="14"/>
        <v>0</v>
      </c>
      <c r="T52" s="296">
        <f t="shared" si="14"/>
        <v>0</v>
      </c>
      <c r="U52" s="253"/>
    </row>
    <row r="53" ht="22.5" customHeight="1">
      <c r="A53" s="247"/>
      <c r="B53" s="262"/>
      <c r="J53" s="258"/>
      <c r="L53" s="262"/>
      <c r="T53" s="14"/>
      <c r="U53" s="253"/>
    </row>
    <row r="54" ht="26.25" customHeight="1">
      <c r="A54" s="266"/>
      <c r="B54" s="305" t="s">
        <v>609</v>
      </c>
      <c r="C54" s="294"/>
      <c r="D54" s="294"/>
      <c r="E54" s="294"/>
      <c r="F54" s="295"/>
      <c r="G54" s="306">
        <f t="shared" ref="G54:J54" si="15">G14+G22+G30+G38+G46+G52</f>
        <v>1401.8</v>
      </c>
      <c r="H54" s="306">
        <f t="shared" si="15"/>
        <v>133.43</v>
      </c>
      <c r="I54" s="306">
        <f t="shared" si="15"/>
        <v>182.6</v>
      </c>
      <c r="J54" s="306">
        <f t="shared" si="15"/>
        <v>15.525</v>
      </c>
      <c r="K54" s="22"/>
      <c r="L54" s="305" t="s">
        <v>609</v>
      </c>
      <c r="M54" s="294"/>
      <c r="N54" s="294"/>
      <c r="O54" s="294"/>
      <c r="P54" s="295"/>
      <c r="Q54" s="306">
        <f t="shared" ref="Q54:T54" si="16">Q14+Q22+Q30+Q38+Q46+Q52</f>
        <v>1134.5</v>
      </c>
      <c r="R54" s="306">
        <f t="shared" si="16"/>
        <v>98.45</v>
      </c>
      <c r="S54" s="306">
        <f t="shared" si="16"/>
        <v>134.7</v>
      </c>
      <c r="T54" s="306">
        <f t="shared" si="16"/>
        <v>21.5</v>
      </c>
      <c r="U54" s="253"/>
    </row>
    <row r="55" ht="33.75" customHeight="1">
      <c r="A55" s="307"/>
      <c r="B55" s="308" t="s">
        <v>464</v>
      </c>
      <c r="C55" s="299"/>
      <c r="D55" s="299"/>
      <c r="E55" s="299"/>
      <c r="F55" s="299"/>
      <c r="G55" s="299"/>
      <c r="H55" s="299"/>
      <c r="I55" s="299"/>
      <c r="J55" s="299"/>
      <c r="K55" s="22"/>
      <c r="L55" s="299"/>
      <c r="M55" s="299"/>
      <c r="N55" s="299"/>
      <c r="O55" s="299"/>
      <c r="P55" s="299"/>
      <c r="Q55" s="299"/>
      <c r="R55" s="299"/>
      <c r="S55" s="299"/>
      <c r="T55" s="300"/>
      <c r="U55" s="253"/>
    </row>
  </sheetData>
  <mergeCells count="50">
    <mergeCell ref="L7:M7"/>
    <mergeCell ref="N14:P14"/>
    <mergeCell ref="L15:T15"/>
    <mergeCell ref="L8:M14"/>
    <mergeCell ref="L16:M22"/>
    <mergeCell ref="N22:P22"/>
    <mergeCell ref="L24:M30"/>
    <mergeCell ref="N30:P30"/>
    <mergeCell ref="L31:T31"/>
    <mergeCell ref="L32:M38"/>
    <mergeCell ref="B47:J47"/>
    <mergeCell ref="B48:C52"/>
    <mergeCell ref="D52:F52"/>
    <mergeCell ref="B53:J53"/>
    <mergeCell ref="B54:F54"/>
    <mergeCell ref="B1:D5"/>
    <mergeCell ref="B7:C7"/>
    <mergeCell ref="B8:C14"/>
    <mergeCell ref="K8:K54"/>
    <mergeCell ref="D14:F14"/>
    <mergeCell ref="B15:J15"/>
    <mergeCell ref="B31:J31"/>
    <mergeCell ref="E1:I1"/>
    <mergeCell ref="J1:J5"/>
    <mergeCell ref="K1:K7"/>
    <mergeCell ref="L1:T5"/>
    <mergeCell ref="E5:I5"/>
    <mergeCell ref="B6:J6"/>
    <mergeCell ref="L6:T6"/>
    <mergeCell ref="D22:F22"/>
    <mergeCell ref="B23:J23"/>
    <mergeCell ref="L23:T23"/>
    <mergeCell ref="B24:C30"/>
    <mergeCell ref="D30:F30"/>
    <mergeCell ref="B16:C22"/>
    <mergeCell ref="B32:C38"/>
    <mergeCell ref="D38:F38"/>
    <mergeCell ref="B39:J39"/>
    <mergeCell ref="B40:C46"/>
    <mergeCell ref="D46:F46"/>
    <mergeCell ref="L53:T53"/>
    <mergeCell ref="L54:P54"/>
    <mergeCell ref="B55:T55"/>
    <mergeCell ref="N38:P38"/>
    <mergeCell ref="L39:T39"/>
    <mergeCell ref="L40:M46"/>
    <mergeCell ref="N46:P46"/>
    <mergeCell ref="L47:T47"/>
    <mergeCell ref="L48:M52"/>
    <mergeCell ref="N52:P52"/>
  </mergeCells>
  <dataValidations>
    <dataValidation type="list" allowBlank="1" sqref="D8:D13 N8:N13 D16:D21 N16:N21 D24:D29 N24:N29 D32:D37 N32:N37 D40:D45 N40:N45 D48:D51 N48:N51">
      <formula1>'Food List'!$C:$C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6.38"/>
    <col customWidth="1" min="2" max="3" width="4.5"/>
    <col customWidth="1" min="4" max="4" width="31.38"/>
    <col customWidth="1" min="5" max="5" width="15.13"/>
    <col customWidth="1" min="6" max="6" width="12.63"/>
    <col customWidth="1" min="7" max="10" width="10.13"/>
    <col customWidth="1" min="11" max="11" width="6.38"/>
    <col customWidth="1" min="12" max="13" width="4.5"/>
    <col customWidth="1" min="14" max="14" width="31.38"/>
    <col customWidth="1" min="15" max="15" width="15.13"/>
    <col customWidth="1" min="16" max="16" width="12.63"/>
    <col customWidth="1" min="17" max="20" width="10.13"/>
    <col customWidth="1" min="21" max="21" width="6.38"/>
    <col customWidth="1" min="22" max="23" width="4.5"/>
    <col customWidth="1" min="24" max="24" width="31.38"/>
    <col customWidth="1" min="25" max="25" width="15.13"/>
    <col customWidth="1" min="26" max="26" width="12.63"/>
    <col customWidth="1" min="27" max="30" width="10.13"/>
    <col customWidth="1" min="31" max="31" width="6.38"/>
    <col customWidth="1" min="32" max="33" width="4.5"/>
    <col customWidth="1" min="34" max="34" width="31.38"/>
    <col customWidth="1" min="35" max="35" width="15.13"/>
    <col customWidth="1" min="36" max="36" width="12.63"/>
    <col customWidth="1" min="37" max="40" width="10.13"/>
    <col customWidth="1" min="41" max="41" width="6.38"/>
    <col customWidth="1" min="42" max="43" width="4.5"/>
    <col customWidth="1" min="44" max="44" width="31.38"/>
    <col customWidth="1" min="45" max="45" width="15.13"/>
    <col customWidth="1" min="46" max="46" width="12.63"/>
    <col customWidth="1" min="47" max="50" width="10.13"/>
    <col customWidth="1" min="51" max="51" width="6.38"/>
    <col customWidth="1" min="52" max="53" width="4.5"/>
    <col customWidth="1" min="54" max="54" width="31.38"/>
    <col customWidth="1" min="55" max="55" width="15.13"/>
    <col customWidth="1" min="56" max="56" width="12.63"/>
    <col customWidth="1" min="57" max="60" width="10.13"/>
    <col customWidth="1" min="61" max="61" width="6.38"/>
    <col customWidth="1" min="62" max="63" width="4.5"/>
    <col customWidth="1" min="64" max="64" width="31.38"/>
    <col customWidth="1" min="65" max="65" width="15.13"/>
    <col customWidth="1" min="66" max="66" width="12.63"/>
    <col customWidth="1" min="67" max="70" width="10.13"/>
    <col customWidth="1" min="71" max="71" width="6.38"/>
  </cols>
  <sheetData>
    <row r="1" ht="15.75" customHeight="1">
      <c r="A1" s="247"/>
      <c r="B1" s="248" t="s">
        <v>0</v>
      </c>
      <c r="C1" s="5"/>
      <c r="D1" s="6"/>
      <c r="E1" s="309"/>
      <c r="F1" s="5"/>
      <c r="G1" s="5"/>
      <c r="H1" s="5"/>
      <c r="I1" s="5"/>
      <c r="J1" s="6"/>
      <c r="K1" s="251"/>
      <c r="L1" s="25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6"/>
    </row>
    <row r="2">
      <c r="A2" s="247"/>
      <c r="B2" s="13"/>
      <c r="D2" s="14"/>
      <c r="E2" s="116" t="s">
        <v>10</v>
      </c>
      <c r="F2" s="113" t="s">
        <v>13</v>
      </c>
      <c r="G2" s="310" t="s">
        <v>15</v>
      </c>
      <c r="H2" s="310" t="s">
        <v>17</v>
      </c>
      <c r="I2" s="310" t="s">
        <v>20</v>
      </c>
      <c r="J2" s="311"/>
      <c r="K2" s="147"/>
      <c r="L2" s="13"/>
      <c r="BS2" s="14"/>
    </row>
    <row r="3">
      <c r="A3" s="247"/>
      <c r="B3" s="13"/>
      <c r="D3" s="14"/>
      <c r="E3" s="312" t="s">
        <v>610</v>
      </c>
      <c r="F3" s="313">
        <f t="shared" ref="F3:I3" si="1">G59</f>
        <v>1469.1</v>
      </c>
      <c r="G3" s="313">
        <f t="shared" si="1"/>
        <v>134.02</v>
      </c>
      <c r="H3" s="313">
        <f t="shared" si="1"/>
        <v>156.35</v>
      </c>
      <c r="I3" s="313">
        <f t="shared" si="1"/>
        <v>34.05</v>
      </c>
      <c r="J3" s="14"/>
      <c r="K3" s="147"/>
      <c r="L3" s="13"/>
      <c r="BS3" s="14"/>
    </row>
    <row r="4">
      <c r="A4" s="247"/>
      <c r="B4" s="13"/>
      <c r="D4" s="254"/>
      <c r="E4" s="312" t="s">
        <v>611</v>
      </c>
      <c r="F4" s="313">
        <f t="shared" ref="F4:I4" si="2">Q59</f>
        <v>1135</v>
      </c>
      <c r="G4" s="313">
        <f t="shared" si="2"/>
        <v>90.05</v>
      </c>
      <c r="H4" s="313">
        <f t="shared" si="2"/>
        <v>93.6</v>
      </c>
      <c r="I4" s="313">
        <f t="shared" si="2"/>
        <v>44.35</v>
      </c>
      <c r="J4" s="254"/>
      <c r="K4" s="147"/>
      <c r="L4" s="13"/>
      <c r="BS4" s="14"/>
    </row>
    <row r="5">
      <c r="A5" s="247"/>
      <c r="B5" s="13"/>
      <c r="D5" s="258"/>
      <c r="E5" s="312" t="s">
        <v>612</v>
      </c>
      <c r="F5" s="313">
        <f t="shared" ref="F5:I5" si="3">AA59</f>
        <v>922.1</v>
      </c>
      <c r="G5" s="313">
        <f t="shared" si="3"/>
        <v>110.12</v>
      </c>
      <c r="H5" s="313">
        <f t="shared" si="3"/>
        <v>93.8</v>
      </c>
      <c r="I5" s="313">
        <f t="shared" si="3"/>
        <v>10.8</v>
      </c>
      <c r="J5" s="258"/>
      <c r="K5" s="147"/>
      <c r="L5" s="13"/>
      <c r="BS5" s="14"/>
    </row>
    <row r="6">
      <c r="A6" s="247"/>
      <c r="B6" s="13"/>
      <c r="D6" s="254"/>
      <c r="E6" s="314" t="s">
        <v>613</v>
      </c>
      <c r="F6" s="315">
        <f t="shared" ref="F6:I6" si="4">AK59</f>
        <v>0</v>
      </c>
      <c r="G6" s="315">
        <f t="shared" si="4"/>
        <v>0</v>
      </c>
      <c r="H6" s="315">
        <f t="shared" si="4"/>
        <v>0</v>
      </c>
      <c r="I6" s="315">
        <f t="shared" si="4"/>
        <v>0</v>
      </c>
      <c r="J6" s="254"/>
      <c r="K6" s="147"/>
      <c r="L6" s="13"/>
      <c r="BS6" s="14"/>
    </row>
    <row r="7">
      <c r="A7" s="247"/>
      <c r="B7" s="13"/>
      <c r="D7" s="258"/>
      <c r="E7" s="314" t="s">
        <v>614</v>
      </c>
      <c r="F7" s="315">
        <f t="shared" ref="F7:I7" si="5">AU59</f>
        <v>0</v>
      </c>
      <c r="G7" s="315">
        <f t="shared" si="5"/>
        <v>0</v>
      </c>
      <c r="H7" s="315">
        <f t="shared" si="5"/>
        <v>0</v>
      </c>
      <c r="I7" s="315">
        <f t="shared" si="5"/>
        <v>0</v>
      </c>
      <c r="J7" s="258"/>
      <c r="K7" s="147"/>
      <c r="L7" s="13"/>
      <c r="BS7" s="14"/>
    </row>
    <row r="8">
      <c r="A8" s="247"/>
      <c r="B8" s="13"/>
      <c r="D8" s="254"/>
      <c r="E8" s="314" t="s">
        <v>615</v>
      </c>
      <c r="F8" s="315">
        <f t="shared" ref="F8:I8" si="6">BE59</f>
        <v>0</v>
      </c>
      <c r="G8" s="315">
        <f t="shared" si="6"/>
        <v>0</v>
      </c>
      <c r="H8" s="315">
        <f t="shared" si="6"/>
        <v>0</v>
      </c>
      <c r="I8" s="315">
        <f t="shared" si="6"/>
        <v>0</v>
      </c>
      <c r="J8" s="254"/>
      <c r="K8" s="147"/>
      <c r="L8" s="13"/>
      <c r="BS8" s="14"/>
    </row>
    <row r="9">
      <c r="A9" s="247"/>
      <c r="B9" s="13"/>
      <c r="D9" s="14"/>
      <c r="E9" s="314" t="s">
        <v>616</v>
      </c>
      <c r="F9" s="315">
        <f t="shared" ref="F9:I9" si="7">BO59</f>
        <v>0</v>
      </c>
      <c r="G9" s="315">
        <f t="shared" si="7"/>
        <v>0</v>
      </c>
      <c r="H9" s="315">
        <f t="shared" si="7"/>
        <v>0</v>
      </c>
      <c r="I9" s="315">
        <f t="shared" si="7"/>
        <v>0</v>
      </c>
      <c r="J9" s="23"/>
      <c r="K9" s="147"/>
      <c r="L9" s="13"/>
      <c r="BS9" s="14"/>
    </row>
    <row r="10" ht="15.75" customHeight="1">
      <c r="A10" s="247"/>
      <c r="B10" s="21"/>
      <c r="C10" s="22"/>
      <c r="D10" s="23"/>
      <c r="E10" s="262"/>
      <c r="J10" s="14"/>
      <c r="K10" s="147"/>
      <c r="L10" s="2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3"/>
    </row>
    <row r="11" ht="22.5" customHeight="1">
      <c r="A11" s="263"/>
      <c r="B11" s="264" t="s">
        <v>617</v>
      </c>
      <c r="C11" s="10"/>
      <c r="D11" s="10"/>
      <c r="E11" s="10"/>
      <c r="F11" s="10"/>
      <c r="G11" s="10"/>
      <c r="H11" s="10"/>
      <c r="I11" s="10"/>
      <c r="J11" s="11"/>
      <c r="K11" s="147"/>
      <c r="L11" s="264" t="s">
        <v>618</v>
      </c>
      <c r="M11" s="10"/>
      <c r="N11" s="10"/>
      <c r="O11" s="10"/>
      <c r="P11" s="10"/>
      <c r="Q11" s="10"/>
      <c r="R11" s="10"/>
      <c r="S11" s="10"/>
      <c r="T11" s="11"/>
      <c r="U11" s="316"/>
      <c r="V11" s="264" t="s">
        <v>619</v>
      </c>
      <c r="W11" s="10"/>
      <c r="X11" s="10"/>
      <c r="Y11" s="10"/>
      <c r="Z11" s="10"/>
      <c r="AA11" s="10"/>
      <c r="AB11" s="10"/>
      <c r="AC11" s="10"/>
      <c r="AD11" s="11"/>
      <c r="AE11" s="316"/>
      <c r="AF11" s="264" t="s">
        <v>620</v>
      </c>
      <c r="AG11" s="10"/>
      <c r="AH11" s="10"/>
      <c r="AI11" s="10"/>
      <c r="AJ11" s="10"/>
      <c r="AK11" s="10"/>
      <c r="AL11" s="10"/>
      <c r="AM11" s="10"/>
      <c r="AN11" s="11"/>
      <c r="AO11" s="316"/>
      <c r="AP11" s="264" t="s">
        <v>621</v>
      </c>
      <c r="AQ11" s="10"/>
      <c r="AR11" s="10"/>
      <c r="AS11" s="10"/>
      <c r="AT11" s="10"/>
      <c r="AU11" s="10"/>
      <c r="AV11" s="10"/>
      <c r="AW11" s="10"/>
      <c r="AX11" s="11"/>
      <c r="AY11" s="316"/>
      <c r="AZ11" s="264" t="s">
        <v>622</v>
      </c>
      <c r="BA11" s="10"/>
      <c r="BB11" s="10"/>
      <c r="BC11" s="10"/>
      <c r="BD11" s="10"/>
      <c r="BE11" s="10"/>
      <c r="BF11" s="10"/>
      <c r="BG11" s="10"/>
      <c r="BH11" s="11"/>
      <c r="BI11" s="316"/>
      <c r="BJ11" s="264" t="s">
        <v>623</v>
      </c>
      <c r="BK11" s="10"/>
      <c r="BL11" s="10"/>
      <c r="BM11" s="10"/>
      <c r="BN11" s="10"/>
      <c r="BO11" s="10"/>
      <c r="BP11" s="10"/>
      <c r="BQ11" s="10"/>
      <c r="BR11" s="11"/>
      <c r="BS11" s="317"/>
    </row>
    <row r="12" ht="22.5" customHeight="1">
      <c r="A12" s="266"/>
      <c r="B12" s="267" t="s">
        <v>582</v>
      </c>
      <c r="C12" s="11"/>
      <c r="D12" s="255" t="s">
        <v>583</v>
      </c>
      <c r="E12" s="255" t="s">
        <v>584</v>
      </c>
      <c r="F12" s="268" t="s">
        <v>585</v>
      </c>
      <c r="G12" s="256" t="s">
        <v>13</v>
      </c>
      <c r="H12" s="256" t="s">
        <v>15</v>
      </c>
      <c r="I12" s="256" t="s">
        <v>17</v>
      </c>
      <c r="J12" s="256" t="s">
        <v>20</v>
      </c>
      <c r="K12" s="152"/>
      <c r="L12" s="267" t="s">
        <v>582</v>
      </c>
      <c r="M12" s="11"/>
      <c r="N12" s="255" t="s">
        <v>583</v>
      </c>
      <c r="O12" s="255" t="s">
        <v>584</v>
      </c>
      <c r="P12" s="268" t="s">
        <v>585</v>
      </c>
      <c r="Q12" s="256" t="s">
        <v>13</v>
      </c>
      <c r="R12" s="256" t="s">
        <v>15</v>
      </c>
      <c r="S12" s="256" t="s">
        <v>17</v>
      </c>
      <c r="T12" s="256" t="s">
        <v>20</v>
      </c>
      <c r="U12" s="22"/>
      <c r="V12" s="267" t="s">
        <v>582</v>
      </c>
      <c r="W12" s="11"/>
      <c r="X12" s="255" t="s">
        <v>583</v>
      </c>
      <c r="Y12" s="255" t="s">
        <v>584</v>
      </c>
      <c r="Z12" s="268" t="s">
        <v>585</v>
      </c>
      <c r="AA12" s="256" t="s">
        <v>13</v>
      </c>
      <c r="AB12" s="256" t="s">
        <v>15</v>
      </c>
      <c r="AC12" s="256" t="s">
        <v>17</v>
      </c>
      <c r="AD12" s="256" t="s">
        <v>20</v>
      </c>
      <c r="AE12" s="22"/>
      <c r="AF12" s="267" t="s">
        <v>582</v>
      </c>
      <c r="AG12" s="11"/>
      <c r="AH12" s="255" t="s">
        <v>583</v>
      </c>
      <c r="AI12" s="255" t="s">
        <v>584</v>
      </c>
      <c r="AJ12" s="268" t="s">
        <v>585</v>
      </c>
      <c r="AK12" s="256" t="s">
        <v>13</v>
      </c>
      <c r="AL12" s="256" t="s">
        <v>15</v>
      </c>
      <c r="AM12" s="256" t="s">
        <v>17</v>
      </c>
      <c r="AN12" s="256" t="s">
        <v>20</v>
      </c>
      <c r="AO12" s="22"/>
      <c r="AP12" s="267" t="s">
        <v>582</v>
      </c>
      <c r="AQ12" s="11"/>
      <c r="AR12" s="255" t="s">
        <v>583</v>
      </c>
      <c r="AS12" s="255" t="s">
        <v>584</v>
      </c>
      <c r="AT12" s="268" t="s">
        <v>585</v>
      </c>
      <c r="AU12" s="256" t="s">
        <v>13</v>
      </c>
      <c r="AV12" s="256" t="s">
        <v>15</v>
      </c>
      <c r="AW12" s="256" t="s">
        <v>17</v>
      </c>
      <c r="AX12" s="256" t="s">
        <v>20</v>
      </c>
      <c r="AY12" s="22"/>
      <c r="AZ12" s="267" t="s">
        <v>582</v>
      </c>
      <c r="BA12" s="11"/>
      <c r="BB12" s="255" t="s">
        <v>583</v>
      </c>
      <c r="BC12" s="255" t="s">
        <v>584</v>
      </c>
      <c r="BD12" s="268" t="s">
        <v>585</v>
      </c>
      <c r="BE12" s="256" t="s">
        <v>13</v>
      </c>
      <c r="BF12" s="256" t="s">
        <v>15</v>
      </c>
      <c r="BG12" s="256" t="s">
        <v>17</v>
      </c>
      <c r="BH12" s="256" t="s">
        <v>20</v>
      </c>
      <c r="BI12" s="22"/>
      <c r="BJ12" s="267" t="s">
        <v>582</v>
      </c>
      <c r="BK12" s="11"/>
      <c r="BL12" s="255" t="s">
        <v>583</v>
      </c>
      <c r="BM12" s="255" t="s">
        <v>584</v>
      </c>
      <c r="BN12" s="268" t="s">
        <v>585</v>
      </c>
      <c r="BO12" s="256" t="s">
        <v>13</v>
      </c>
      <c r="BP12" s="256" t="s">
        <v>15</v>
      </c>
      <c r="BQ12" s="256" t="s">
        <v>17</v>
      </c>
      <c r="BR12" s="256" t="s">
        <v>20</v>
      </c>
      <c r="BS12" s="23"/>
    </row>
    <row r="13">
      <c r="A13" s="266"/>
      <c r="B13" s="269" t="s">
        <v>586</v>
      </c>
      <c r="C13" s="270"/>
      <c r="D13" s="271" t="s">
        <v>624</v>
      </c>
      <c r="E13" s="271" t="str">
        <f>IF(ISBLANK(D13),"",IFERROR((VLOOKUP(D13,'Food List'!$C:$H,2,FALSE)),""))</f>
        <v>100g</v>
      </c>
      <c r="F13" s="271">
        <v>3.0</v>
      </c>
      <c r="G13" s="272">
        <f>IF(ISBLANK(F13),"",IFERROR((VLOOKUP(D13,'Food List'!$C:$H,3,FALSE))*F13,""))</f>
        <v>174</v>
      </c>
      <c r="H13" s="273">
        <f>IF(ISBLANK(F13),"",IFERROR((VLOOKUP(D13,'Food List'!$C:$H,4,FALSE))*F13,""))</f>
        <v>31.8</v>
      </c>
      <c r="I13" s="274">
        <f>IF(ISBLANK(F13),"",IFERROR((VLOOKUP(D13,'Food List'!$C:$H,5,FALSE))*F13,""))</f>
        <v>11.7</v>
      </c>
      <c r="J13" s="274">
        <f>IF(ISBLANK(F13),"",IFERROR((VLOOKUP(D13,'Food List'!$C:$H,6,FALSE))*F13,""))</f>
        <v>0</v>
      </c>
      <c r="K13" s="252"/>
      <c r="L13" s="269" t="s">
        <v>586</v>
      </c>
      <c r="M13" s="270"/>
      <c r="N13" s="271" t="s">
        <v>590</v>
      </c>
      <c r="O13" s="271" t="str">
        <f>IF(ISBLANK(N13),"",IFERROR((VLOOKUP(N13,'Food List'!$C:$H,2,FALSE)),""))</f>
        <v>1 egg</v>
      </c>
      <c r="P13" s="271">
        <v>2.0</v>
      </c>
      <c r="Q13" s="272">
        <f>IF(ISBLANK(P13),"",IFERROR((VLOOKUP(N13,'Food List'!$C:$H,3,FALSE))*P13,""))</f>
        <v>144</v>
      </c>
      <c r="R13" s="273">
        <f>IF(ISBLANK(P13),"",IFERROR((VLOOKUP(N13,'Food List'!$C:$H,4,FALSE))*P13,""))</f>
        <v>12</v>
      </c>
      <c r="S13" s="274">
        <f>IF(ISBLANK(P13),"",IFERROR((VLOOKUP(N13,'Food List'!$C:$H,5,FALSE))*P13,""))</f>
        <v>0.8</v>
      </c>
      <c r="T13" s="274">
        <f>IF(ISBLANK(P13),"",IFERROR((VLOOKUP(N13,'Food List'!$C:$H,6,FALSE))*P13,""))</f>
        <v>9.6</v>
      </c>
      <c r="U13" s="252"/>
      <c r="V13" s="269" t="s">
        <v>586</v>
      </c>
      <c r="W13" s="270"/>
      <c r="X13" s="271" t="s">
        <v>590</v>
      </c>
      <c r="Y13" s="271" t="str">
        <f>IF(ISBLANK(X13),"",IFERROR((VLOOKUP(X13,'Food List'!$C:$H,2,FALSE)),""))</f>
        <v>1 egg</v>
      </c>
      <c r="Z13" s="271">
        <v>1.0</v>
      </c>
      <c r="AA13" s="272">
        <f>IF(ISBLANK(Z13),"",IFERROR((VLOOKUP(X13,'Food List'!$C:$H,3,FALSE))*Z13,""))</f>
        <v>72</v>
      </c>
      <c r="AB13" s="273">
        <f>IF(ISBLANK(Z13),"",IFERROR((VLOOKUP(X13,'Food List'!$C:$H,4,FALSE))*Z13,""))</f>
        <v>6</v>
      </c>
      <c r="AC13" s="274">
        <f>IF(ISBLANK(Z13),"",IFERROR((VLOOKUP(X13,'Food List'!$C:$H,5,FALSE))*Z13,""))</f>
        <v>0.4</v>
      </c>
      <c r="AD13" s="274">
        <f>IF(ISBLANK(Z13),"",IFERROR((VLOOKUP(X13,'Food List'!$C:$H,6,FALSE))*Z13,""))</f>
        <v>4.8</v>
      </c>
      <c r="AE13" s="252"/>
      <c r="AF13" s="269" t="s">
        <v>586</v>
      </c>
      <c r="AG13" s="270"/>
      <c r="AH13" s="271"/>
      <c r="AI13" s="271" t="str">
        <f>IF(ISBLANK(AH13),"",IFERROR((VLOOKUP(AH13,'Food List'!$C:$H,2,FALSE)),""))</f>
        <v/>
      </c>
      <c r="AJ13" s="271"/>
      <c r="AK13" s="272" t="str">
        <f>IF(ISBLANK(AJ13),"",IFERROR((VLOOKUP(AH13,'Food List'!$C:$H,3,FALSE))*AJ13,""))</f>
        <v/>
      </c>
      <c r="AL13" s="273" t="str">
        <f>IF(ISBLANK(AJ13),"",IFERROR((VLOOKUP(AH13,'Food List'!$C:$H,4,FALSE))*AJ13,""))</f>
        <v/>
      </c>
      <c r="AM13" s="274" t="str">
        <f>IF(ISBLANK(AJ13),"",IFERROR((VLOOKUP(AH13,'Food List'!$C:$H,5,FALSE))*AJ13,""))</f>
        <v/>
      </c>
      <c r="AN13" s="274" t="str">
        <f>IF(ISBLANK(AJ13),"",IFERROR((VLOOKUP(AH13,'Food List'!$C:$H,6,FALSE))*AJ13,""))</f>
        <v/>
      </c>
      <c r="AO13" s="252"/>
      <c r="AP13" s="269" t="s">
        <v>586</v>
      </c>
      <c r="AQ13" s="270"/>
      <c r="AR13" s="271"/>
      <c r="AS13" s="271" t="str">
        <f>IF(ISBLANK(AR13),"",IFERROR((VLOOKUP(AR13,'Food List'!$C:$H,2,FALSE)),""))</f>
        <v/>
      </c>
      <c r="AT13" s="271"/>
      <c r="AU13" s="272" t="str">
        <f>IF(ISBLANK(AT13),"",IFERROR((VLOOKUP(AR13,'Food List'!$C:$H,3,FALSE))*AT13,""))</f>
        <v/>
      </c>
      <c r="AV13" s="273" t="str">
        <f>IF(ISBLANK(AT13),"",IFERROR((VLOOKUP(AR13,'Food List'!$C:$H,4,FALSE))*AT13,""))</f>
        <v/>
      </c>
      <c r="AW13" s="274" t="str">
        <f>IF(ISBLANK(AT13),"",IFERROR((VLOOKUP(AR13,'Food List'!$C:$H,5,FALSE))*AT13,""))</f>
        <v/>
      </c>
      <c r="AX13" s="274" t="str">
        <f>IF(ISBLANK(AT13),"",IFERROR((VLOOKUP(AR13,'Food List'!$C:$H,6,FALSE))*AT13,""))</f>
        <v/>
      </c>
      <c r="AY13" s="252"/>
      <c r="AZ13" s="269" t="s">
        <v>586</v>
      </c>
      <c r="BA13" s="270"/>
      <c r="BB13" s="271"/>
      <c r="BC13" s="271" t="str">
        <f>IF(ISBLANK(BB13),"",IFERROR((VLOOKUP(BB13,'Food List'!$C:$H,2,FALSE)),""))</f>
        <v/>
      </c>
      <c r="BD13" s="271"/>
      <c r="BE13" s="272" t="str">
        <f>IF(ISBLANK(BD13),"",IFERROR((VLOOKUP(BB13,'Food List'!$C:$H,3,FALSE))*BD13,""))</f>
        <v/>
      </c>
      <c r="BF13" s="273" t="str">
        <f>IF(ISBLANK(BD13),"",IFERROR((VLOOKUP(BB13,'Food List'!$C:$H,4,FALSE))*BD13,""))</f>
        <v/>
      </c>
      <c r="BG13" s="274" t="str">
        <f>IF(ISBLANK(BD13),"",IFERROR((VLOOKUP(BB13,'Food List'!$C:$H,5,FALSE))*BD13,""))</f>
        <v/>
      </c>
      <c r="BH13" s="274" t="str">
        <f>IF(ISBLANK(BD13),"",IFERROR((VLOOKUP(BB13,'Food List'!$C:$H,6,FALSE))*BD13,""))</f>
        <v/>
      </c>
      <c r="BI13" s="252"/>
      <c r="BJ13" s="269" t="s">
        <v>586</v>
      </c>
      <c r="BK13" s="270"/>
      <c r="BL13" s="271"/>
      <c r="BM13" s="271" t="str">
        <f>IF(ISBLANK(BL13),"",IFERROR((VLOOKUP(BL13,'Food List'!$C:$H,2,FALSE)),""))</f>
        <v/>
      </c>
      <c r="BN13" s="271"/>
      <c r="BO13" s="272" t="str">
        <f>IF(ISBLANK(BN13),"",IFERROR((VLOOKUP(BL13,'Food List'!$C:$H,3,FALSE))*BN13,""))</f>
        <v/>
      </c>
      <c r="BP13" s="273" t="str">
        <f>IF(ISBLANK(BN13),"",IFERROR((VLOOKUP(BL13,'Food List'!$C:$H,4,FALSE))*BN13,""))</f>
        <v/>
      </c>
      <c r="BQ13" s="274" t="str">
        <f>IF(ISBLANK(BN13),"",IFERROR((VLOOKUP(BL13,'Food List'!$C:$H,5,FALSE))*BN13,""))</f>
        <v/>
      </c>
      <c r="BR13" s="274" t="str">
        <f>IF(ISBLANK(BN13),"",IFERROR((VLOOKUP(BL13,'Food List'!$C:$H,6,FALSE))*BN13,""))</f>
        <v/>
      </c>
      <c r="BS13" s="251"/>
    </row>
    <row r="14">
      <c r="A14" s="266"/>
      <c r="B14" s="277"/>
      <c r="C14" s="278"/>
      <c r="D14" s="279" t="s">
        <v>625</v>
      </c>
      <c r="E14" s="279" t="str">
        <f>IF(ISBLANK(D14),"",IFERROR((VLOOKUP(D14,'Food List'!$C:$H,2,FALSE)),""))</f>
        <v>100g</v>
      </c>
      <c r="F14" s="279">
        <v>2.0</v>
      </c>
      <c r="G14" s="280">
        <f>IF(ISBLANK(F14),"",IFERROR((VLOOKUP(D14,'Food List'!$C:$H,3,FALSE))*F14,""))</f>
        <v>54</v>
      </c>
      <c r="H14" s="281">
        <f>IF(ISBLANK(F14),"",IFERROR((VLOOKUP(D14,'Food List'!$C:$H,4,FALSE))*F14,""))</f>
        <v>2.8</v>
      </c>
      <c r="I14" s="282">
        <f>IF(ISBLANK(F14),"",IFERROR((VLOOKUP(D14,'Food List'!$C:$H,5,FALSE))*F14,""))</f>
        <v>9.2</v>
      </c>
      <c r="J14" s="282">
        <f>IF(ISBLANK(F14),"",IFERROR((VLOOKUP(D14,'Food List'!$C:$H,6,FALSE))*F14,""))</f>
        <v>0.6</v>
      </c>
      <c r="K14" s="13"/>
      <c r="L14" s="277"/>
      <c r="M14" s="278"/>
      <c r="N14" s="279" t="s">
        <v>626</v>
      </c>
      <c r="O14" s="279" t="str">
        <f>IF(ISBLANK(N14),"",IFERROR((VLOOKUP(N14,'Food List'!$C:$H,2,FALSE)),""))</f>
        <v>100g</v>
      </c>
      <c r="P14" s="279">
        <v>0.5</v>
      </c>
      <c r="Q14" s="280">
        <f>IF(ISBLANK(P14),"",IFERROR((VLOOKUP(N14,'Food List'!$C:$H,3,FALSE))*P14,""))</f>
        <v>139.5</v>
      </c>
      <c r="R14" s="281">
        <f>IF(ISBLANK(P14),"",IFERROR((VLOOKUP(N14,'Food List'!$C:$H,4,FALSE))*P14,""))</f>
        <v>5.9</v>
      </c>
      <c r="S14" s="282">
        <f>IF(ISBLANK(P14),"",IFERROR((VLOOKUP(N14,'Food List'!$C:$H,5,FALSE))*P14,""))</f>
        <v>27</v>
      </c>
      <c r="T14" s="282">
        <f>IF(ISBLANK(P14),"",IFERROR((VLOOKUP(N14,'Food List'!$C:$H,6,FALSE))*P14,""))</f>
        <v>0.9</v>
      </c>
      <c r="U14" s="13"/>
      <c r="V14" s="277"/>
      <c r="W14" s="278"/>
      <c r="X14" s="279" t="s">
        <v>592</v>
      </c>
      <c r="Y14" s="279" t="str">
        <f>IF(ISBLANK(X14),"",IFERROR((VLOOKUP(X14,'Food List'!$C:$H,2,FALSE)),""))</f>
        <v>1 rasher</v>
      </c>
      <c r="Z14" s="279">
        <v>2.0</v>
      </c>
      <c r="AA14" s="280">
        <f>IF(ISBLANK(Z14),"",IFERROR((VLOOKUP(X14,'Food List'!$C:$H,3,FALSE))*Z14,""))</f>
        <v>58</v>
      </c>
      <c r="AB14" s="281">
        <f>IF(ISBLANK(Z14),"",IFERROR((VLOOKUP(X14,'Food List'!$C:$H,4,FALSE))*Z14,""))</f>
        <v>10.2</v>
      </c>
      <c r="AC14" s="282">
        <f>IF(ISBLANK(Z14),"",IFERROR((VLOOKUP(X14,'Food List'!$C:$H,5,FALSE))*Z14,""))</f>
        <v>1</v>
      </c>
      <c r="AD14" s="282">
        <f>IF(ISBLANK(Z14),"",IFERROR((VLOOKUP(X14,'Food List'!$C:$H,6,FALSE))*Z14,""))</f>
        <v>1.4</v>
      </c>
      <c r="AE14" s="13"/>
      <c r="AF14" s="277"/>
      <c r="AG14" s="278"/>
      <c r="AH14" s="279"/>
      <c r="AI14" s="279" t="str">
        <f>IF(ISBLANK(AH14),"",IFERROR((VLOOKUP(AH14,'Food List'!$C:$H,2,FALSE)),""))</f>
        <v/>
      </c>
      <c r="AJ14" s="279"/>
      <c r="AK14" s="280" t="str">
        <f>IF(ISBLANK(AJ14),"",IFERROR((VLOOKUP(AH14,'Food List'!$C:$H,3,FALSE))*AJ14,""))</f>
        <v/>
      </c>
      <c r="AL14" s="281" t="str">
        <f>IF(ISBLANK(AJ14),"",IFERROR((VLOOKUP(AH14,'Food List'!$C:$H,4,FALSE))*AJ14,""))</f>
        <v/>
      </c>
      <c r="AM14" s="282" t="str">
        <f>IF(ISBLANK(AJ14),"",IFERROR((VLOOKUP(AH14,'Food List'!$C:$H,5,FALSE))*AJ14,""))</f>
        <v/>
      </c>
      <c r="AN14" s="282" t="str">
        <f>IF(ISBLANK(AJ14),"",IFERROR((VLOOKUP(AH14,'Food List'!$C:$H,6,FALSE))*AJ14,""))</f>
        <v/>
      </c>
      <c r="AO14" s="13"/>
      <c r="AP14" s="277"/>
      <c r="AQ14" s="278"/>
      <c r="AR14" s="279"/>
      <c r="AS14" s="279" t="str">
        <f>IF(ISBLANK(AR14),"",IFERROR((VLOOKUP(AR14,'Food List'!$C:$H,2,FALSE)),""))</f>
        <v/>
      </c>
      <c r="AT14" s="279"/>
      <c r="AU14" s="280" t="str">
        <f>IF(ISBLANK(AT14),"",IFERROR((VLOOKUP(AR14,'Food List'!$C:$H,3,FALSE))*AT14,""))</f>
        <v/>
      </c>
      <c r="AV14" s="281" t="str">
        <f>IF(ISBLANK(AT14),"",IFERROR((VLOOKUP(AR14,'Food List'!$C:$H,4,FALSE))*AT14,""))</f>
        <v/>
      </c>
      <c r="AW14" s="282" t="str">
        <f>IF(ISBLANK(AT14),"",IFERROR((VLOOKUP(AR14,'Food List'!$C:$H,5,FALSE))*AT14,""))</f>
        <v/>
      </c>
      <c r="AX14" s="282" t="str">
        <f>IF(ISBLANK(AT14),"",IFERROR((VLOOKUP(AR14,'Food List'!$C:$H,6,FALSE))*AT14,""))</f>
        <v/>
      </c>
      <c r="AY14" s="318"/>
      <c r="AZ14" s="277"/>
      <c r="BA14" s="278"/>
      <c r="BB14" s="279"/>
      <c r="BC14" s="279" t="str">
        <f>IF(ISBLANK(BB14),"",IFERROR((VLOOKUP(BB14,'Food List'!$C:$H,2,FALSE)),""))</f>
        <v/>
      </c>
      <c r="BD14" s="279"/>
      <c r="BE14" s="280" t="str">
        <f>IF(ISBLANK(BD14),"",IFERROR((VLOOKUP(BB14,'Food List'!$C:$H,3,FALSE))*BD14,""))</f>
        <v/>
      </c>
      <c r="BF14" s="281" t="str">
        <f>IF(ISBLANK(BD14),"",IFERROR((VLOOKUP(BB14,'Food List'!$C:$H,4,FALSE))*BD14,""))</f>
        <v/>
      </c>
      <c r="BG14" s="282" t="str">
        <f>IF(ISBLANK(BD14),"",IFERROR((VLOOKUP(BB14,'Food List'!$C:$H,5,FALSE))*BD14,""))</f>
        <v/>
      </c>
      <c r="BH14" s="282" t="str">
        <f>IF(ISBLANK(BD14),"",IFERROR((VLOOKUP(BB14,'Food List'!$C:$H,6,FALSE))*BD14,""))</f>
        <v/>
      </c>
      <c r="BI14" s="318"/>
      <c r="BJ14" s="277"/>
      <c r="BK14" s="278"/>
      <c r="BL14" s="279"/>
      <c r="BM14" s="279" t="str">
        <f>IF(ISBLANK(BL14),"",IFERROR((VLOOKUP(BL14,'Food List'!$C:$H,2,FALSE)),""))</f>
        <v/>
      </c>
      <c r="BN14" s="279"/>
      <c r="BO14" s="280" t="str">
        <f>IF(ISBLANK(BN14),"",IFERROR((VLOOKUP(BL14,'Food List'!$C:$H,3,FALSE))*BN14,""))</f>
        <v/>
      </c>
      <c r="BP14" s="281" t="str">
        <f>IF(ISBLANK(BN14),"",IFERROR((VLOOKUP(BL14,'Food List'!$C:$H,4,FALSE))*BN14,""))</f>
        <v/>
      </c>
      <c r="BQ14" s="282" t="str">
        <f>IF(ISBLANK(BN14),"",IFERROR((VLOOKUP(BL14,'Food List'!$C:$H,5,FALSE))*BN14,""))</f>
        <v/>
      </c>
      <c r="BR14" s="282" t="str">
        <f>IF(ISBLANK(BN14),"",IFERROR((VLOOKUP(BL14,'Food List'!$C:$H,6,FALSE))*BN14,""))</f>
        <v/>
      </c>
      <c r="BS14" s="261"/>
    </row>
    <row r="15">
      <c r="A15" s="266"/>
      <c r="B15" s="285"/>
      <c r="C15" s="286"/>
      <c r="D15" s="279" t="s">
        <v>591</v>
      </c>
      <c r="E15" s="279" t="str">
        <f>IF(ISBLANK(D15),"",IFERROR((VLOOKUP(D15,'Food List'!$C:$H,2,FALSE)),""))</f>
        <v>100g</v>
      </c>
      <c r="F15" s="279">
        <v>0.3</v>
      </c>
      <c r="G15" s="280">
        <f>IF(ISBLANK(F15),"",IFERROR((VLOOKUP(D15,'Food List'!$C:$H,3,FALSE))*F15,""))</f>
        <v>92.1</v>
      </c>
      <c r="H15" s="281">
        <f>IF(ISBLANK(F15),"",IFERROR((VLOOKUP(D15,'Food List'!$C:$H,4,FALSE))*F15,""))</f>
        <v>0.12</v>
      </c>
      <c r="I15" s="282">
        <f>IF(ISBLANK(F15),"",IFERROR((VLOOKUP(D15,'Food List'!$C:$H,5,FALSE))*F15,""))</f>
        <v>22.8</v>
      </c>
      <c r="J15" s="282">
        <f>IF(ISBLANK(F15),"",IFERROR((VLOOKUP(D15,'Food List'!$C:$H,6,FALSE))*F15,""))</f>
        <v>0</v>
      </c>
      <c r="K15" s="13"/>
      <c r="L15" s="285"/>
      <c r="M15" s="286"/>
      <c r="N15" s="279" t="s">
        <v>627</v>
      </c>
      <c r="O15" s="279" t="str">
        <f>IF(ISBLANK(N15),"",IFERROR((VLOOKUP(N15,'Food List'!$C:$H,2,FALSE)),""))</f>
        <v>100g</v>
      </c>
      <c r="P15" s="279">
        <v>1.0</v>
      </c>
      <c r="Q15" s="280">
        <f>IF(ISBLANK(P15),"",IFERROR((VLOOKUP(N15,'Food List'!$C:$H,3,FALSE))*P15,""))</f>
        <v>191</v>
      </c>
      <c r="R15" s="281">
        <f>IF(ISBLANK(P15),"",IFERROR((VLOOKUP(N15,'Food List'!$C:$H,4,FALSE))*P15,""))</f>
        <v>1.9</v>
      </c>
      <c r="S15" s="282">
        <f>IF(ISBLANK(P15),"",IFERROR((VLOOKUP(N15,'Food List'!$C:$H,5,FALSE))*P15,""))</f>
        <v>1.9</v>
      </c>
      <c r="T15" s="282">
        <f>IF(ISBLANK(P15),"",IFERROR((VLOOKUP(N15,'Food List'!$C:$H,6,FALSE))*P15,""))</f>
        <v>19.5</v>
      </c>
      <c r="U15" s="13"/>
      <c r="V15" s="285"/>
      <c r="W15" s="286"/>
      <c r="X15" s="279" t="s">
        <v>588</v>
      </c>
      <c r="Y15" s="279" t="str">
        <f>IF(ISBLANK(X15),"",IFERROR((VLOOKUP(X15,'Food List'!$C:$H,2,FALSE)),""))</f>
        <v>1 bagel</v>
      </c>
      <c r="Z15" s="279">
        <v>1.0</v>
      </c>
      <c r="AA15" s="280">
        <f>IF(ISBLANK(Z15),"",IFERROR((VLOOKUP(X15,'Food List'!$C:$H,3,FALSE))*Z15,""))</f>
        <v>224</v>
      </c>
      <c r="AB15" s="281">
        <f>IF(ISBLANK(Z15),"",IFERROR((VLOOKUP(X15,'Food List'!$C:$H,4,FALSE))*Z15,""))</f>
        <v>8.5</v>
      </c>
      <c r="AC15" s="282">
        <f>IF(ISBLANK(Z15),"",IFERROR((VLOOKUP(X15,'Food List'!$C:$H,5,FALSE))*Z15,""))</f>
        <v>43.8</v>
      </c>
      <c r="AD15" s="282">
        <f>IF(ISBLANK(Z15),"",IFERROR((VLOOKUP(X15,'Food List'!$C:$H,6,FALSE))*Z15,""))</f>
        <v>1.2</v>
      </c>
      <c r="AE15" s="13"/>
      <c r="AF15" s="285"/>
      <c r="AG15" s="286"/>
      <c r="AH15" s="279"/>
      <c r="AI15" s="279" t="str">
        <f>IF(ISBLANK(AH15),"",IFERROR((VLOOKUP(AH15,'Food List'!$C:$H,2,FALSE)),""))</f>
        <v/>
      </c>
      <c r="AJ15" s="279"/>
      <c r="AK15" s="280" t="str">
        <f>IF(ISBLANK(AJ15),"",IFERROR((VLOOKUP(AH15,'Food List'!$C:$H,3,FALSE))*AJ15,""))</f>
        <v/>
      </c>
      <c r="AL15" s="281" t="str">
        <f>IF(ISBLANK(AJ15),"",IFERROR((VLOOKUP(AH15,'Food List'!$C:$H,4,FALSE))*AJ15,""))</f>
        <v/>
      </c>
      <c r="AM15" s="282" t="str">
        <f>IF(ISBLANK(AJ15),"",IFERROR((VLOOKUP(AH15,'Food List'!$C:$H,5,FALSE))*AJ15,""))</f>
        <v/>
      </c>
      <c r="AN15" s="282" t="str">
        <f>IF(ISBLANK(AJ15),"",IFERROR((VLOOKUP(AH15,'Food List'!$C:$H,6,FALSE))*AJ15,""))</f>
        <v/>
      </c>
      <c r="AO15" s="13"/>
      <c r="AP15" s="285"/>
      <c r="AQ15" s="286"/>
      <c r="AR15" s="279"/>
      <c r="AS15" s="279" t="str">
        <f>IF(ISBLANK(AR15),"",IFERROR((VLOOKUP(AR15,'Food List'!$C:$H,2,FALSE)),""))</f>
        <v/>
      </c>
      <c r="AT15" s="279"/>
      <c r="AU15" s="280" t="str">
        <f>IF(ISBLANK(AT15),"",IFERROR((VLOOKUP(AR15,'Food List'!$C:$H,3,FALSE))*AT15,""))</f>
        <v/>
      </c>
      <c r="AV15" s="281" t="str">
        <f>IF(ISBLANK(AT15),"",IFERROR((VLOOKUP(AR15,'Food List'!$C:$H,4,FALSE))*AT15,""))</f>
        <v/>
      </c>
      <c r="AW15" s="282" t="str">
        <f>IF(ISBLANK(AT15),"",IFERROR((VLOOKUP(AR15,'Food List'!$C:$H,5,FALSE))*AT15,""))</f>
        <v/>
      </c>
      <c r="AX15" s="282" t="str">
        <f>IF(ISBLANK(AT15),"",IFERROR((VLOOKUP(AR15,'Food List'!$C:$H,6,FALSE))*AT15,""))</f>
        <v/>
      </c>
      <c r="AY15" s="319"/>
      <c r="AZ15" s="285"/>
      <c r="BA15" s="286"/>
      <c r="BB15" s="279"/>
      <c r="BC15" s="279" t="str">
        <f>IF(ISBLANK(BB15),"",IFERROR((VLOOKUP(BB15,'Food List'!$C:$H,2,FALSE)),""))</f>
        <v/>
      </c>
      <c r="BD15" s="279"/>
      <c r="BE15" s="280" t="str">
        <f>IF(ISBLANK(BD15),"",IFERROR((VLOOKUP(BB15,'Food List'!$C:$H,3,FALSE))*BD15,""))</f>
        <v/>
      </c>
      <c r="BF15" s="281" t="str">
        <f>IF(ISBLANK(BD15),"",IFERROR((VLOOKUP(BB15,'Food List'!$C:$H,4,FALSE))*BD15,""))</f>
        <v/>
      </c>
      <c r="BG15" s="282" t="str">
        <f>IF(ISBLANK(BD15),"",IFERROR((VLOOKUP(BB15,'Food List'!$C:$H,5,FALSE))*BD15,""))</f>
        <v/>
      </c>
      <c r="BH15" s="282" t="str">
        <f>IF(ISBLANK(BD15),"",IFERROR((VLOOKUP(BB15,'Food List'!$C:$H,6,FALSE))*BD15,""))</f>
        <v/>
      </c>
      <c r="BI15" s="319"/>
      <c r="BJ15" s="285"/>
      <c r="BK15" s="286"/>
      <c r="BL15" s="279"/>
      <c r="BM15" s="279" t="str">
        <f>IF(ISBLANK(BL15),"",IFERROR((VLOOKUP(BL15,'Food List'!$C:$H,2,FALSE)),""))</f>
        <v/>
      </c>
      <c r="BN15" s="279"/>
      <c r="BO15" s="280" t="str">
        <f>IF(ISBLANK(BN15),"",IFERROR((VLOOKUP(BL15,'Food List'!$C:$H,3,FALSE))*BN15,""))</f>
        <v/>
      </c>
      <c r="BP15" s="281" t="str">
        <f>IF(ISBLANK(BN15),"",IFERROR((VLOOKUP(BL15,'Food List'!$C:$H,4,FALSE))*BN15,""))</f>
        <v/>
      </c>
      <c r="BQ15" s="282" t="str">
        <f>IF(ISBLANK(BN15),"",IFERROR((VLOOKUP(BL15,'Food List'!$C:$H,5,FALSE))*BN15,""))</f>
        <v/>
      </c>
      <c r="BR15" s="282" t="str">
        <f>IF(ISBLANK(BN15),"",IFERROR((VLOOKUP(BL15,'Food List'!$C:$H,6,FALSE))*BN15,""))</f>
        <v/>
      </c>
      <c r="BS15" s="257"/>
    </row>
    <row r="16">
      <c r="A16" s="266"/>
      <c r="B16" s="277"/>
      <c r="C16" s="278"/>
      <c r="D16" s="279"/>
      <c r="E16" s="279" t="str">
        <f>IF(ISBLANK(D16),"",IFERROR((VLOOKUP(D16,'Food List'!$C:$H,2,FALSE)),""))</f>
        <v/>
      </c>
      <c r="F16" s="279"/>
      <c r="G16" s="280" t="str">
        <f>IF(ISBLANK(F16),"",IFERROR((VLOOKUP(D16,'Food List'!$C:$H,3,FALSE))*F16,""))</f>
        <v/>
      </c>
      <c r="H16" s="281" t="str">
        <f>IF(ISBLANK(F16),"",IFERROR((VLOOKUP(D16,'Food List'!$C:$H,4,FALSE))*F16,""))</f>
        <v/>
      </c>
      <c r="I16" s="282" t="str">
        <f>IF(ISBLANK(F16),"",IFERROR((VLOOKUP(D16,'Food List'!$C:$H,5,FALSE))*F16,""))</f>
        <v/>
      </c>
      <c r="J16" s="282" t="str">
        <f>IF(ISBLANK(F16),"",IFERROR((VLOOKUP(D16,'Food List'!$C:$H,6,FALSE))*F16,""))</f>
        <v/>
      </c>
      <c r="K16" s="13"/>
      <c r="L16" s="277"/>
      <c r="M16" s="278"/>
      <c r="N16" s="279"/>
      <c r="O16" s="279" t="str">
        <f>IF(ISBLANK(N16),"",IFERROR((VLOOKUP(N16,'Food List'!$C:$H,2,FALSE)),""))</f>
        <v/>
      </c>
      <c r="P16" s="279"/>
      <c r="Q16" s="280" t="str">
        <f>IF(ISBLANK(P16),"",IFERROR((VLOOKUP(N16,'Food List'!$C:$H,3,FALSE))*P16,""))</f>
        <v/>
      </c>
      <c r="R16" s="281" t="str">
        <f>IF(ISBLANK(P16),"",IFERROR((VLOOKUP(N16,'Food List'!$C:$H,4,FALSE))*P16,""))</f>
        <v/>
      </c>
      <c r="S16" s="282" t="str">
        <f>IF(ISBLANK(P16),"",IFERROR((VLOOKUP(N16,'Food List'!$C:$H,5,FALSE))*P16,""))</f>
        <v/>
      </c>
      <c r="T16" s="282" t="str">
        <f>IF(ISBLANK(P16),"",IFERROR((VLOOKUP(N16,'Food List'!$C:$H,6,FALSE))*P16,""))</f>
        <v/>
      </c>
      <c r="U16" s="13"/>
      <c r="V16" s="277"/>
      <c r="W16" s="278"/>
      <c r="X16" s="279"/>
      <c r="Y16" s="279" t="str">
        <f>IF(ISBLANK(X16),"",IFERROR((VLOOKUP(X16,'Food List'!$C:$H,2,FALSE)),""))</f>
        <v/>
      </c>
      <c r="Z16" s="279"/>
      <c r="AA16" s="280" t="str">
        <f>IF(ISBLANK(Z16),"",IFERROR((VLOOKUP(X16,'Food List'!$C:$H,3,FALSE))*Z16,""))</f>
        <v/>
      </c>
      <c r="AB16" s="281" t="str">
        <f>IF(ISBLANK(Z16),"",IFERROR((VLOOKUP(X16,'Food List'!$C:$H,4,FALSE))*Z16,""))</f>
        <v/>
      </c>
      <c r="AC16" s="282" t="str">
        <f>IF(ISBLANK(Z16),"",IFERROR((VLOOKUP(X16,'Food List'!$C:$H,5,FALSE))*Z16,""))</f>
        <v/>
      </c>
      <c r="AD16" s="282" t="str">
        <f>IF(ISBLANK(Z16),"",IFERROR((VLOOKUP(X16,'Food List'!$C:$H,6,FALSE))*Z16,""))</f>
        <v/>
      </c>
      <c r="AE16" s="13"/>
      <c r="AF16" s="277"/>
      <c r="AG16" s="278"/>
      <c r="AH16" s="279"/>
      <c r="AI16" s="279" t="str">
        <f>IF(ISBLANK(AH16),"",IFERROR((VLOOKUP(AH16,'Food List'!$C:$H,2,FALSE)),""))</f>
        <v/>
      </c>
      <c r="AJ16" s="279"/>
      <c r="AK16" s="280" t="str">
        <f>IF(ISBLANK(AJ16),"",IFERROR((VLOOKUP(AH16,'Food List'!$C:$H,3,FALSE))*AJ16,""))</f>
        <v/>
      </c>
      <c r="AL16" s="281" t="str">
        <f>IF(ISBLANK(AJ16),"",IFERROR((VLOOKUP(AH16,'Food List'!$C:$H,4,FALSE))*AJ16,""))</f>
        <v/>
      </c>
      <c r="AM16" s="282" t="str">
        <f>IF(ISBLANK(AJ16),"",IFERROR((VLOOKUP(AH16,'Food List'!$C:$H,5,FALSE))*AJ16,""))</f>
        <v/>
      </c>
      <c r="AN16" s="282" t="str">
        <f>IF(ISBLANK(AJ16),"",IFERROR((VLOOKUP(AH16,'Food List'!$C:$H,6,FALSE))*AJ16,""))</f>
        <v/>
      </c>
      <c r="AO16" s="13"/>
      <c r="AP16" s="277"/>
      <c r="AQ16" s="278"/>
      <c r="AR16" s="279"/>
      <c r="AS16" s="279" t="str">
        <f>IF(ISBLANK(AR16),"",IFERROR((VLOOKUP(AR16,'Food List'!$C:$H,2,FALSE)),""))</f>
        <v/>
      </c>
      <c r="AT16" s="279"/>
      <c r="AU16" s="280" t="str">
        <f>IF(ISBLANK(AT16),"",IFERROR((VLOOKUP(AR16,'Food List'!$C:$H,3,FALSE))*AT16,""))</f>
        <v/>
      </c>
      <c r="AV16" s="281" t="str">
        <f>IF(ISBLANK(AT16),"",IFERROR((VLOOKUP(AR16,'Food List'!$C:$H,4,FALSE))*AT16,""))</f>
        <v/>
      </c>
      <c r="AW16" s="282" t="str">
        <f>IF(ISBLANK(AT16),"",IFERROR((VLOOKUP(AR16,'Food List'!$C:$H,5,FALSE))*AT16,""))</f>
        <v/>
      </c>
      <c r="AX16" s="282" t="str">
        <f>IF(ISBLANK(AT16),"",IFERROR((VLOOKUP(AR16,'Food List'!$C:$H,6,FALSE))*AT16,""))</f>
        <v/>
      </c>
      <c r="AY16" s="318"/>
      <c r="AZ16" s="277"/>
      <c r="BA16" s="278"/>
      <c r="BB16" s="279"/>
      <c r="BC16" s="279" t="str">
        <f>IF(ISBLANK(BB16),"",IFERROR((VLOOKUP(BB16,'Food List'!$C:$H,2,FALSE)),""))</f>
        <v/>
      </c>
      <c r="BD16" s="279"/>
      <c r="BE16" s="280" t="str">
        <f>IF(ISBLANK(BD16),"",IFERROR((VLOOKUP(BB16,'Food List'!$C:$H,3,FALSE))*BD16,""))</f>
        <v/>
      </c>
      <c r="BF16" s="281" t="str">
        <f>IF(ISBLANK(BD16),"",IFERROR((VLOOKUP(BB16,'Food List'!$C:$H,4,FALSE))*BD16,""))</f>
        <v/>
      </c>
      <c r="BG16" s="282" t="str">
        <f>IF(ISBLANK(BD16),"",IFERROR((VLOOKUP(BB16,'Food List'!$C:$H,5,FALSE))*BD16,""))</f>
        <v/>
      </c>
      <c r="BH16" s="282" t="str">
        <f>IF(ISBLANK(BD16),"",IFERROR((VLOOKUP(BB16,'Food List'!$C:$H,6,FALSE))*BD16,""))</f>
        <v/>
      </c>
      <c r="BI16" s="318"/>
      <c r="BJ16" s="277"/>
      <c r="BK16" s="278"/>
      <c r="BL16" s="279"/>
      <c r="BM16" s="279" t="str">
        <f>IF(ISBLANK(BL16),"",IFERROR((VLOOKUP(BL16,'Food List'!$C:$H,2,FALSE)),""))</f>
        <v/>
      </c>
      <c r="BN16" s="279"/>
      <c r="BO16" s="280" t="str">
        <f>IF(ISBLANK(BN16),"",IFERROR((VLOOKUP(BL16,'Food List'!$C:$H,3,FALSE))*BN16,""))</f>
        <v/>
      </c>
      <c r="BP16" s="281" t="str">
        <f>IF(ISBLANK(BN16),"",IFERROR((VLOOKUP(BL16,'Food List'!$C:$H,4,FALSE))*BN16,""))</f>
        <v/>
      </c>
      <c r="BQ16" s="282" t="str">
        <f>IF(ISBLANK(BN16),"",IFERROR((VLOOKUP(BL16,'Food List'!$C:$H,5,FALSE))*BN16,""))</f>
        <v/>
      </c>
      <c r="BR16" s="282" t="str">
        <f>IF(ISBLANK(BN16),"",IFERROR((VLOOKUP(BL16,'Food List'!$C:$H,6,FALSE))*BN16,""))</f>
        <v/>
      </c>
      <c r="BS16" s="261"/>
    </row>
    <row r="17">
      <c r="A17" s="266"/>
      <c r="B17" s="285"/>
      <c r="C17" s="286"/>
      <c r="D17" s="279"/>
      <c r="E17" s="279" t="str">
        <f>IF(ISBLANK(D17),"",IFERROR((VLOOKUP(D17,'Food List'!$C:$H,2,FALSE)),""))</f>
        <v/>
      </c>
      <c r="F17" s="279"/>
      <c r="G17" s="280" t="str">
        <f>IF(ISBLANK(F17),"",IFERROR((VLOOKUP(D17,'Food List'!$C:$H,3,FALSE))*F17,""))</f>
        <v/>
      </c>
      <c r="H17" s="281" t="str">
        <f>IF(ISBLANK(F17),"",IFERROR((VLOOKUP(D17,'Food List'!$C:$H,4,FALSE))*F17,""))</f>
        <v/>
      </c>
      <c r="I17" s="282" t="str">
        <f>IF(ISBLANK(F17),"",IFERROR((VLOOKUP(D17,'Food List'!$C:$H,5,FALSE))*F17,""))</f>
        <v/>
      </c>
      <c r="J17" s="282" t="str">
        <f>IF(ISBLANK(F17),"",IFERROR((VLOOKUP(D17,'Food List'!$C:$H,6,FALSE))*F17,""))</f>
        <v/>
      </c>
      <c r="K17" s="13"/>
      <c r="L17" s="285"/>
      <c r="M17" s="286"/>
      <c r="N17" s="279"/>
      <c r="O17" s="279" t="str">
        <f>IF(ISBLANK(N17),"",IFERROR((VLOOKUP(N17,'Food List'!$C:$H,2,FALSE)),""))</f>
        <v/>
      </c>
      <c r="P17" s="279"/>
      <c r="Q17" s="280" t="str">
        <f>IF(ISBLANK(P17),"",IFERROR((VLOOKUP(N17,'Food List'!$C:$H,3,FALSE))*P17,""))</f>
        <v/>
      </c>
      <c r="R17" s="281" t="str">
        <f>IF(ISBLANK(P17),"",IFERROR((VLOOKUP(N17,'Food List'!$C:$H,4,FALSE))*P17,""))</f>
        <v/>
      </c>
      <c r="S17" s="282" t="str">
        <f>IF(ISBLANK(P17),"",IFERROR((VLOOKUP(N17,'Food List'!$C:$H,5,FALSE))*P17,""))</f>
        <v/>
      </c>
      <c r="T17" s="282" t="str">
        <f>IF(ISBLANK(P17),"",IFERROR((VLOOKUP(N17,'Food List'!$C:$H,6,FALSE))*P17,""))</f>
        <v/>
      </c>
      <c r="U17" s="13"/>
      <c r="V17" s="285"/>
      <c r="W17" s="286"/>
      <c r="X17" s="279"/>
      <c r="Y17" s="279" t="str">
        <f>IF(ISBLANK(X17),"",IFERROR((VLOOKUP(X17,'Food List'!$C:$H,2,FALSE)),""))</f>
        <v/>
      </c>
      <c r="Z17" s="279"/>
      <c r="AA17" s="280" t="str">
        <f>IF(ISBLANK(Z17),"",IFERROR((VLOOKUP(X17,'Food List'!$C:$H,3,FALSE))*Z17,""))</f>
        <v/>
      </c>
      <c r="AB17" s="281" t="str">
        <f>IF(ISBLANK(Z17),"",IFERROR((VLOOKUP(X17,'Food List'!$C:$H,4,FALSE))*Z17,""))</f>
        <v/>
      </c>
      <c r="AC17" s="282" t="str">
        <f>IF(ISBLANK(Z17),"",IFERROR((VLOOKUP(X17,'Food List'!$C:$H,5,FALSE))*Z17,""))</f>
        <v/>
      </c>
      <c r="AD17" s="282" t="str">
        <f>IF(ISBLANK(Z17),"",IFERROR((VLOOKUP(X17,'Food List'!$C:$H,6,FALSE))*Z17,""))</f>
        <v/>
      </c>
      <c r="AE17" s="13"/>
      <c r="AF17" s="285"/>
      <c r="AG17" s="286"/>
      <c r="AH17" s="279"/>
      <c r="AI17" s="279" t="str">
        <f>IF(ISBLANK(AH17),"",IFERROR((VLOOKUP(AH17,'Food List'!$C:$H,2,FALSE)),""))</f>
        <v/>
      </c>
      <c r="AJ17" s="279"/>
      <c r="AK17" s="280" t="str">
        <f>IF(ISBLANK(AJ17),"",IFERROR((VLOOKUP(AH17,'Food List'!$C:$H,3,FALSE))*AJ17,""))</f>
        <v/>
      </c>
      <c r="AL17" s="281" t="str">
        <f>IF(ISBLANK(AJ17),"",IFERROR((VLOOKUP(AH17,'Food List'!$C:$H,4,FALSE))*AJ17,""))</f>
        <v/>
      </c>
      <c r="AM17" s="282" t="str">
        <f>IF(ISBLANK(AJ17),"",IFERROR((VLOOKUP(AH17,'Food List'!$C:$H,5,FALSE))*AJ17,""))</f>
        <v/>
      </c>
      <c r="AN17" s="282" t="str">
        <f>IF(ISBLANK(AJ17),"",IFERROR((VLOOKUP(AH17,'Food List'!$C:$H,6,FALSE))*AJ17,""))</f>
        <v/>
      </c>
      <c r="AO17" s="13"/>
      <c r="AP17" s="285"/>
      <c r="AQ17" s="286"/>
      <c r="AR17" s="279"/>
      <c r="AS17" s="279" t="str">
        <f>IF(ISBLANK(AR17),"",IFERROR((VLOOKUP(AR17,'Food List'!$C:$H,2,FALSE)),""))</f>
        <v/>
      </c>
      <c r="AT17" s="279"/>
      <c r="AU17" s="280" t="str">
        <f>IF(ISBLANK(AT17),"",IFERROR((VLOOKUP(AR17,'Food List'!$C:$H,3,FALSE))*AT17,""))</f>
        <v/>
      </c>
      <c r="AV17" s="281" t="str">
        <f>IF(ISBLANK(AT17),"",IFERROR((VLOOKUP(AR17,'Food List'!$C:$H,4,FALSE))*AT17,""))</f>
        <v/>
      </c>
      <c r="AW17" s="282" t="str">
        <f>IF(ISBLANK(AT17),"",IFERROR((VLOOKUP(AR17,'Food List'!$C:$H,5,FALSE))*AT17,""))</f>
        <v/>
      </c>
      <c r="AX17" s="282" t="str">
        <f>IF(ISBLANK(AT17),"",IFERROR((VLOOKUP(AR17,'Food List'!$C:$H,6,FALSE))*AT17,""))</f>
        <v/>
      </c>
      <c r="AY17" s="319"/>
      <c r="AZ17" s="285"/>
      <c r="BA17" s="286"/>
      <c r="BB17" s="279"/>
      <c r="BC17" s="279" t="str">
        <f>IF(ISBLANK(BB17),"",IFERROR((VLOOKUP(BB17,'Food List'!$C:$H,2,FALSE)),""))</f>
        <v/>
      </c>
      <c r="BD17" s="279"/>
      <c r="BE17" s="280" t="str">
        <f>IF(ISBLANK(BD17),"",IFERROR((VLOOKUP(BB17,'Food List'!$C:$H,3,FALSE))*BD17,""))</f>
        <v/>
      </c>
      <c r="BF17" s="281" t="str">
        <f>IF(ISBLANK(BD17),"",IFERROR((VLOOKUP(BB17,'Food List'!$C:$H,4,FALSE))*BD17,""))</f>
        <v/>
      </c>
      <c r="BG17" s="282" t="str">
        <f>IF(ISBLANK(BD17),"",IFERROR((VLOOKUP(BB17,'Food List'!$C:$H,5,FALSE))*BD17,""))</f>
        <v/>
      </c>
      <c r="BH17" s="282" t="str">
        <f>IF(ISBLANK(BD17),"",IFERROR((VLOOKUP(BB17,'Food List'!$C:$H,6,FALSE))*BD17,""))</f>
        <v/>
      </c>
      <c r="BI17" s="319"/>
      <c r="BJ17" s="285"/>
      <c r="BK17" s="286"/>
      <c r="BL17" s="279"/>
      <c r="BM17" s="279" t="str">
        <f>IF(ISBLANK(BL17),"",IFERROR((VLOOKUP(BL17,'Food List'!$C:$H,2,FALSE)),""))</f>
        <v/>
      </c>
      <c r="BN17" s="279"/>
      <c r="BO17" s="280" t="str">
        <f>IF(ISBLANK(BN17),"",IFERROR((VLOOKUP(BL17,'Food List'!$C:$H,3,FALSE))*BN17,""))</f>
        <v/>
      </c>
      <c r="BP17" s="281" t="str">
        <f>IF(ISBLANK(BN17),"",IFERROR((VLOOKUP(BL17,'Food List'!$C:$H,4,FALSE))*BN17,""))</f>
        <v/>
      </c>
      <c r="BQ17" s="282" t="str">
        <f>IF(ISBLANK(BN17),"",IFERROR((VLOOKUP(BL17,'Food List'!$C:$H,5,FALSE))*BN17,""))</f>
        <v/>
      </c>
      <c r="BR17" s="282" t="str">
        <f>IF(ISBLANK(BN17),"",IFERROR((VLOOKUP(BL17,'Food List'!$C:$H,6,FALSE))*BN17,""))</f>
        <v/>
      </c>
      <c r="BS17" s="257"/>
    </row>
    <row r="18">
      <c r="A18" s="266"/>
      <c r="B18" s="277"/>
      <c r="C18" s="278"/>
      <c r="D18" s="287"/>
      <c r="E18" s="287" t="str">
        <f>IF(ISBLANK(D18),"",IFERROR((VLOOKUP(D18,'Food List'!$C:$H,2,FALSE)),""))</f>
        <v/>
      </c>
      <c r="F18" s="287"/>
      <c r="G18" s="288" t="str">
        <f>IF(ISBLANK(F18),"",IFERROR((VLOOKUP(D18,'Food List'!$C:$H,3,FALSE))*F18,""))</f>
        <v/>
      </c>
      <c r="H18" s="289" t="str">
        <f>IF(ISBLANK(F18),"",IFERROR((VLOOKUP(D18,'Food List'!$C:$H,4,FALSE))*F18,""))</f>
        <v/>
      </c>
      <c r="I18" s="290" t="str">
        <f>IF(ISBLANK(F18),"",IFERROR((VLOOKUP(D18,'Food List'!$C:$H,5,FALSE))*F18,""))</f>
        <v/>
      </c>
      <c r="J18" s="290" t="str">
        <f>IF(ISBLANK(F18),"",IFERROR((VLOOKUP(D18,'Food List'!$C:$H,6,FALSE))*F18,""))</f>
        <v/>
      </c>
      <c r="K18" s="13"/>
      <c r="L18" s="277"/>
      <c r="M18" s="278"/>
      <c r="N18" s="287"/>
      <c r="O18" s="287" t="str">
        <f>IF(ISBLANK(N18),"",IFERROR((VLOOKUP(N18,'Food List'!$C:$H,2,FALSE)),""))</f>
        <v/>
      </c>
      <c r="P18" s="287"/>
      <c r="Q18" s="288" t="str">
        <f>IF(ISBLANK(P18),"",IFERROR((VLOOKUP(N18,'Food List'!$C:$H,3,FALSE))*P18,""))</f>
        <v/>
      </c>
      <c r="R18" s="289" t="str">
        <f>IF(ISBLANK(P18),"",IFERROR((VLOOKUP(N18,'Food List'!$C:$H,4,FALSE))*P18,""))</f>
        <v/>
      </c>
      <c r="S18" s="290" t="str">
        <f>IF(ISBLANK(P18),"",IFERROR((VLOOKUP(N18,'Food List'!$C:$H,5,FALSE))*P18,""))</f>
        <v/>
      </c>
      <c r="T18" s="290" t="str">
        <f>IF(ISBLANK(P18),"",IFERROR((VLOOKUP(N18,'Food List'!$C:$H,6,FALSE))*P18,""))</f>
        <v/>
      </c>
      <c r="U18" s="13"/>
      <c r="V18" s="277"/>
      <c r="W18" s="278"/>
      <c r="X18" s="287"/>
      <c r="Y18" s="287" t="str">
        <f>IF(ISBLANK(X18),"",IFERROR((VLOOKUP(X18,'Food List'!$C:$H,2,FALSE)),""))</f>
        <v/>
      </c>
      <c r="Z18" s="287"/>
      <c r="AA18" s="288" t="str">
        <f>IF(ISBLANK(Z18),"",IFERROR((VLOOKUP(X18,'Food List'!$C:$H,3,FALSE))*Z18,""))</f>
        <v/>
      </c>
      <c r="AB18" s="289" t="str">
        <f>IF(ISBLANK(Z18),"",IFERROR((VLOOKUP(X18,'Food List'!$C:$H,4,FALSE))*Z18,""))</f>
        <v/>
      </c>
      <c r="AC18" s="290" t="str">
        <f>IF(ISBLANK(Z18),"",IFERROR((VLOOKUP(X18,'Food List'!$C:$H,5,FALSE))*Z18,""))</f>
        <v/>
      </c>
      <c r="AD18" s="290" t="str">
        <f>IF(ISBLANK(Z18),"",IFERROR((VLOOKUP(X18,'Food List'!$C:$H,6,FALSE))*Z18,""))</f>
        <v/>
      </c>
      <c r="AE18" s="13"/>
      <c r="AF18" s="277"/>
      <c r="AG18" s="278"/>
      <c r="AH18" s="287"/>
      <c r="AI18" s="287" t="str">
        <f>IF(ISBLANK(AH18),"",IFERROR((VLOOKUP(AH18,'Food List'!$C:$H,2,FALSE)),""))</f>
        <v/>
      </c>
      <c r="AJ18" s="287"/>
      <c r="AK18" s="288" t="str">
        <f>IF(ISBLANK(AJ18),"",IFERROR((VLOOKUP(AH18,'Food List'!$C:$H,3,FALSE))*AJ18,""))</f>
        <v/>
      </c>
      <c r="AL18" s="289" t="str">
        <f>IF(ISBLANK(AJ18),"",IFERROR((VLOOKUP(AH18,'Food List'!$C:$H,4,FALSE))*AJ18,""))</f>
        <v/>
      </c>
      <c r="AM18" s="290" t="str">
        <f>IF(ISBLANK(AJ18),"",IFERROR((VLOOKUP(AH18,'Food List'!$C:$H,5,FALSE))*AJ18,""))</f>
        <v/>
      </c>
      <c r="AN18" s="290" t="str">
        <f>IF(ISBLANK(AJ18),"",IFERROR((VLOOKUP(AH18,'Food List'!$C:$H,6,FALSE))*AJ18,""))</f>
        <v/>
      </c>
      <c r="AO18" s="13"/>
      <c r="AP18" s="277"/>
      <c r="AQ18" s="278"/>
      <c r="AR18" s="287"/>
      <c r="AS18" s="287" t="str">
        <f>IF(ISBLANK(AR18),"",IFERROR((VLOOKUP(AR18,'Food List'!$C:$H,2,FALSE)),""))</f>
        <v/>
      </c>
      <c r="AT18" s="287"/>
      <c r="AU18" s="288" t="str">
        <f>IF(ISBLANK(AT18),"",IFERROR((VLOOKUP(AR18,'Food List'!$C:$H,3,FALSE))*AT18,""))</f>
        <v/>
      </c>
      <c r="AV18" s="289" t="str">
        <f>IF(ISBLANK(AT18),"",IFERROR((VLOOKUP(AR18,'Food List'!$C:$H,4,FALSE))*AT18,""))</f>
        <v/>
      </c>
      <c r="AW18" s="290" t="str">
        <f>IF(ISBLANK(AT18),"",IFERROR((VLOOKUP(AR18,'Food List'!$C:$H,5,FALSE))*AT18,""))</f>
        <v/>
      </c>
      <c r="AX18" s="290" t="str">
        <f>IF(ISBLANK(AT18),"",IFERROR((VLOOKUP(AR18,'Food List'!$C:$H,6,FALSE))*AT18,""))</f>
        <v/>
      </c>
      <c r="AY18" s="318"/>
      <c r="AZ18" s="277"/>
      <c r="BA18" s="278"/>
      <c r="BB18" s="287"/>
      <c r="BC18" s="287" t="str">
        <f>IF(ISBLANK(BB18),"",IFERROR((VLOOKUP(BB18,'Food List'!$C:$H,2,FALSE)),""))</f>
        <v/>
      </c>
      <c r="BD18" s="287"/>
      <c r="BE18" s="288" t="str">
        <f>IF(ISBLANK(BD18),"",IFERROR((VLOOKUP(BB18,'Food List'!$C:$H,3,FALSE))*BD18,""))</f>
        <v/>
      </c>
      <c r="BF18" s="289" t="str">
        <f>IF(ISBLANK(BD18),"",IFERROR((VLOOKUP(BB18,'Food List'!$C:$H,4,FALSE))*BD18,""))</f>
        <v/>
      </c>
      <c r="BG18" s="290" t="str">
        <f>IF(ISBLANK(BD18),"",IFERROR((VLOOKUP(BB18,'Food List'!$C:$H,5,FALSE))*BD18,""))</f>
        <v/>
      </c>
      <c r="BH18" s="290" t="str">
        <f>IF(ISBLANK(BD18),"",IFERROR((VLOOKUP(BB18,'Food List'!$C:$H,6,FALSE))*BD18,""))</f>
        <v/>
      </c>
      <c r="BI18" s="318"/>
      <c r="BJ18" s="277"/>
      <c r="BK18" s="278"/>
      <c r="BL18" s="287"/>
      <c r="BM18" s="287" t="str">
        <f>IF(ISBLANK(BL18),"",IFERROR((VLOOKUP(BL18,'Food List'!$C:$H,2,FALSE)),""))</f>
        <v/>
      </c>
      <c r="BN18" s="287"/>
      <c r="BO18" s="288" t="str">
        <f>IF(ISBLANK(BN18),"",IFERROR((VLOOKUP(BL18,'Food List'!$C:$H,3,FALSE))*BN18,""))</f>
        <v/>
      </c>
      <c r="BP18" s="289" t="str">
        <f>IF(ISBLANK(BN18),"",IFERROR((VLOOKUP(BL18,'Food List'!$C:$H,4,FALSE))*BN18,""))</f>
        <v/>
      </c>
      <c r="BQ18" s="290" t="str">
        <f>IF(ISBLANK(BN18),"",IFERROR((VLOOKUP(BL18,'Food List'!$C:$H,5,FALSE))*BN18,""))</f>
        <v/>
      </c>
      <c r="BR18" s="290" t="str">
        <f>IF(ISBLANK(BN18),"",IFERROR((VLOOKUP(BL18,'Food List'!$C:$H,6,FALSE))*BN18,""))</f>
        <v/>
      </c>
      <c r="BS18" s="261"/>
    </row>
    <row r="19" ht="18.75" customHeight="1">
      <c r="A19" s="266"/>
      <c r="B19" s="291"/>
      <c r="C19" s="292"/>
      <c r="D19" s="293" t="s">
        <v>594</v>
      </c>
      <c r="E19" s="294"/>
      <c r="F19" s="295"/>
      <c r="G19" s="296">
        <f t="shared" ref="G19:J19" si="8">IFERROR(SUM(G13:G18),0)</f>
        <v>320.1</v>
      </c>
      <c r="H19" s="296">
        <f t="shared" si="8"/>
        <v>34.72</v>
      </c>
      <c r="I19" s="296">
        <f t="shared" si="8"/>
        <v>43.7</v>
      </c>
      <c r="J19" s="296">
        <f t="shared" si="8"/>
        <v>0.6</v>
      </c>
      <c r="K19" s="13"/>
      <c r="L19" s="291"/>
      <c r="M19" s="292"/>
      <c r="N19" s="293" t="s">
        <v>594</v>
      </c>
      <c r="O19" s="294"/>
      <c r="P19" s="295"/>
      <c r="Q19" s="296">
        <f t="shared" ref="Q19:T19" si="9">IFERROR(SUM(Q13:Q18),0)</f>
        <v>474.5</v>
      </c>
      <c r="R19" s="296">
        <f t="shared" si="9"/>
        <v>19.8</v>
      </c>
      <c r="S19" s="296">
        <f t="shared" si="9"/>
        <v>29.7</v>
      </c>
      <c r="T19" s="296">
        <f t="shared" si="9"/>
        <v>30</v>
      </c>
      <c r="U19" s="13"/>
      <c r="V19" s="291"/>
      <c r="W19" s="292"/>
      <c r="X19" s="293" t="s">
        <v>594</v>
      </c>
      <c r="Y19" s="294"/>
      <c r="Z19" s="295"/>
      <c r="AA19" s="296">
        <f t="shared" ref="AA19:AD19" si="10">IFERROR(SUM(AA13:AA18),0)</f>
        <v>354</v>
      </c>
      <c r="AB19" s="296">
        <f t="shared" si="10"/>
        <v>24.7</v>
      </c>
      <c r="AC19" s="296">
        <f t="shared" si="10"/>
        <v>45.2</v>
      </c>
      <c r="AD19" s="296">
        <f t="shared" si="10"/>
        <v>7.4</v>
      </c>
      <c r="AE19" s="13"/>
      <c r="AF19" s="291"/>
      <c r="AG19" s="292"/>
      <c r="AH19" s="293" t="s">
        <v>594</v>
      </c>
      <c r="AI19" s="294"/>
      <c r="AJ19" s="295"/>
      <c r="AK19" s="296">
        <f t="shared" ref="AK19:AN19" si="11">IFERROR(SUM(AK13:AK18),0)</f>
        <v>0</v>
      </c>
      <c r="AL19" s="296">
        <f t="shared" si="11"/>
        <v>0</v>
      </c>
      <c r="AM19" s="296">
        <f t="shared" si="11"/>
        <v>0</v>
      </c>
      <c r="AN19" s="296">
        <f t="shared" si="11"/>
        <v>0</v>
      </c>
      <c r="AO19" s="13"/>
      <c r="AP19" s="291"/>
      <c r="AQ19" s="292"/>
      <c r="AR19" s="293" t="s">
        <v>594</v>
      </c>
      <c r="AS19" s="294"/>
      <c r="AT19" s="295"/>
      <c r="AU19" s="296">
        <f t="shared" ref="AU19:AX19" si="12">IFERROR(SUM(AU13:AU18),0)</f>
        <v>0</v>
      </c>
      <c r="AV19" s="296">
        <f t="shared" si="12"/>
        <v>0</v>
      </c>
      <c r="AW19" s="296">
        <f t="shared" si="12"/>
        <v>0</v>
      </c>
      <c r="AX19" s="296">
        <f t="shared" si="12"/>
        <v>0</v>
      </c>
      <c r="AY19" s="319"/>
      <c r="AZ19" s="291"/>
      <c r="BA19" s="292"/>
      <c r="BB19" s="293" t="s">
        <v>594</v>
      </c>
      <c r="BC19" s="294"/>
      <c r="BD19" s="295"/>
      <c r="BE19" s="296">
        <f t="shared" ref="BE19:BH19" si="13">IFERROR(SUM(BE13:BE18),0)</f>
        <v>0</v>
      </c>
      <c r="BF19" s="296">
        <f t="shared" si="13"/>
        <v>0</v>
      </c>
      <c r="BG19" s="296">
        <f t="shared" si="13"/>
        <v>0</v>
      </c>
      <c r="BH19" s="296">
        <f t="shared" si="13"/>
        <v>0</v>
      </c>
      <c r="BI19" s="319"/>
      <c r="BJ19" s="291"/>
      <c r="BK19" s="292"/>
      <c r="BL19" s="293" t="s">
        <v>594</v>
      </c>
      <c r="BM19" s="294"/>
      <c r="BN19" s="295"/>
      <c r="BO19" s="296">
        <f t="shared" ref="BO19:BR19" si="14">IFERROR(SUM(BO13:BO18),0)</f>
        <v>0</v>
      </c>
      <c r="BP19" s="296">
        <f t="shared" si="14"/>
        <v>0</v>
      </c>
      <c r="BQ19" s="296">
        <f t="shared" si="14"/>
        <v>0</v>
      </c>
      <c r="BR19" s="296">
        <f t="shared" si="14"/>
        <v>0</v>
      </c>
      <c r="BS19" s="257"/>
    </row>
    <row r="20" ht="7.5" customHeight="1">
      <c r="A20" s="247"/>
      <c r="B20" s="298"/>
      <c r="C20" s="299"/>
      <c r="D20" s="299"/>
      <c r="E20" s="299"/>
      <c r="F20" s="299"/>
      <c r="G20" s="299"/>
      <c r="H20" s="299"/>
      <c r="I20" s="299"/>
      <c r="J20" s="300"/>
      <c r="K20" s="13"/>
      <c r="L20" s="298"/>
      <c r="M20" s="299"/>
      <c r="N20" s="299"/>
      <c r="O20" s="299"/>
      <c r="P20" s="299"/>
      <c r="Q20" s="299"/>
      <c r="R20" s="299"/>
      <c r="S20" s="299"/>
      <c r="T20" s="300"/>
      <c r="U20" s="13"/>
      <c r="V20" s="298"/>
      <c r="W20" s="299"/>
      <c r="X20" s="299"/>
      <c r="Y20" s="299"/>
      <c r="Z20" s="299"/>
      <c r="AA20" s="299"/>
      <c r="AB20" s="299"/>
      <c r="AC20" s="299"/>
      <c r="AD20" s="300"/>
      <c r="AE20" s="13"/>
      <c r="AF20" s="298"/>
      <c r="AG20" s="299"/>
      <c r="AH20" s="299"/>
      <c r="AI20" s="299"/>
      <c r="AJ20" s="299"/>
      <c r="AK20" s="299"/>
      <c r="AL20" s="299"/>
      <c r="AM20" s="299"/>
      <c r="AN20" s="300"/>
      <c r="AO20" s="13"/>
      <c r="AP20" s="298"/>
      <c r="AQ20" s="299"/>
      <c r="AR20" s="299"/>
      <c r="AS20" s="299"/>
      <c r="AT20" s="299"/>
      <c r="AU20" s="299"/>
      <c r="AV20" s="299"/>
      <c r="AW20" s="299"/>
      <c r="AX20" s="300"/>
      <c r="AY20" s="318"/>
      <c r="AZ20" s="298"/>
      <c r="BA20" s="299"/>
      <c r="BB20" s="299"/>
      <c r="BC20" s="299"/>
      <c r="BD20" s="299"/>
      <c r="BE20" s="299"/>
      <c r="BF20" s="299"/>
      <c r="BG20" s="299"/>
      <c r="BH20" s="300"/>
      <c r="BI20" s="318"/>
      <c r="BJ20" s="298"/>
      <c r="BK20" s="299"/>
      <c r="BL20" s="299"/>
      <c r="BM20" s="299"/>
      <c r="BN20" s="299"/>
      <c r="BO20" s="299"/>
      <c r="BP20" s="299"/>
      <c r="BQ20" s="299"/>
      <c r="BR20" s="300"/>
      <c r="BS20" s="261"/>
    </row>
    <row r="21">
      <c r="A21" s="266"/>
      <c r="B21" s="269" t="s">
        <v>595</v>
      </c>
      <c r="C21" s="270"/>
      <c r="D21" s="271" t="s">
        <v>626</v>
      </c>
      <c r="E21" s="271" t="str">
        <f>IF(ISBLANK(D21),"",IFERROR((VLOOKUP(D21,'Food List'!$C:$H,2,FALSE)),""))</f>
        <v>100g</v>
      </c>
      <c r="F21" s="271">
        <v>1.0</v>
      </c>
      <c r="G21" s="272">
        <f>IF(ISBLANK(F21),"",IFERROR((VLOOKUP(D21,'Food List'!$C:$H,3,FALSE))*F21,""))</f>
        <v>279</v>
      </c>
      <c r="H21" s="273">
        <f>IF(ISBLANK(F21),"",IFERROR((VLOOKUP(D21,'Food List'!$C:$H,4,FALSE))*F21,""))</f>
        <v>11.8</v>
      </c>
      <c r="I21" s="274">
        <f>IF(ISBLANK(F21),"",IFERROR((VLOOKUP(D21,'Food List'!$C:$H,5,FALSE))*F21,""))</f>
        <v>54</v>
      </c>
      <c r="J21" s="274">
        <f>IF(ISBLANK(F21),"",IFERROR((VLOOKUP(D21,'Food List'!$C:$H,6,FALSE))*F21,""))</f>
        <v>1.8</v>
      </c>
      <c r="K21" s="13"/>
      <c r="L21" s="269" t="s">
        <v>595</v>
      </c>
      <c r="M21" s="270"/>
      <c r="N21" s="271" t="s">
        <v>628</v>
      </c>
      <c r="O21" s="271" t="str">
        <f>IF(ISBLANK(N21),"",IFERROR((VLOOKUP(N21,'Food List'!$C:$H,2,FALSE)),""))</f>
        <v>100g</v>
      </c>
      <c r="P21" s="271">
        <v>2.0</v>
      </c>
      <c r="Q21" s="272">
        <f>IF(ISBLANK(P21),"",IFERROR((VLOOKUP(N21,'Food List'!$C:$H,3,FALSE))*P21,""))</f>
        <v>250</v>
      </c>
      <c r="R21" s="273">
        <f>IF(ISBLANK(P21),"",IFERROR((VLOOKUP(N21,'Food List'!$C:$H,4,FALSE))*P21,""))</f>
        <v>43.8</v>
      </c>
      <c r="S21" s="274">
        <f>IF(ISBLANK(P21),"",IFERROR((VLOOKUP(N21,'Food List'!$C:$H,5,FALSE))*P21,""))</f>
        <v>0</v>
      </c>
      <c r="T21" s="274">
        <f>IF(ISBLANK(P21),"",IFERROR((VLOOKUP(N21,'Food List'!$C:$H,6,FALSE))*P21,""))</f>
        <v>8.4</v>
      </c>
      <c r="U21" s="13"/>
      <c r="V21" s="269" t="s">
        <v>595</v>
      </c>
      <c r="W21" s="270"/>
      <c r="X21" s="271" t="s">
        <v>596</v>
      </c>
      <c r="Y21" s="271" t="str">
        <f>IF(ISBLANK(X21),"",IFERROR((VLOOKUP(X21,'Food List'!$C:$H,2,FALSE)),""))</f>
        <v>100g</v>
      </c>
      <c r="Z21" s="271">
        <v>2.0</v>
      </c>
      <c r="AA21" s="272">
        <f>IF(ISBLANK(Z21),"",IFERROR((VLOOKUP(X21,'Food List'!$C:$H,3,FALSE))*Z21,""))</f>
        <v>212</v>
      </c>
      <c r="AB21" s="273">
        <f>IF(ISBLANK(Z21),"",IFERROR((VLOOKUP(X21,'Food List'!$C:$H,4,FALSE))*Z21,""))</f>
        <v>48</v>
      </c>
      <c r="AC21" s="274">
        <f>IF(ISBLANK(Z21),"",IFERROR((VLOOKUP(X21,'Food List'!$C:$H,5,FALSE))*Z21,""))</f>
        <v>0</v>
      </c>
      <c r="AD21" s="274">
        <f>IF(ISBLANK(Z21),"",IFERROR((VLOOKUP(X21,'Food List'!$C:$H,6,FALSE))*Z21,""))</f>
        <v>2.2</v>
      </c>
      <c r="AE21" s="13"/>
      <c r="AF21" s="269" t="s">
        <v>595</v>
      </c>
      <c r="AG21" s="270"/>
      <c r="AH21" s="271"/>
      <c r="AI21" s="271" t="str">
        <f>IF(ISBLANK(AH21),"",IFERROR((VLOOKUP(AH21,'Food List'!$C:$H,2,FALSE)),""))</f>
        <v/>
      </c>
      <c r="AJ21" s="271"/>
      <c r="AK21" s="272" t="str">
        <f>IF(ISBLANK(AJ21),"",IFERROR((VLOOKUP(AH21,'Food List'!$C:$H,3,FALSE))*AJ21,""))</f>
        <v/>
      </c>
      <c r="AL21" s="273" t="str">
        <f>IF(ISBLANK(AJ21),"",IFERROR((VLOOKUP(AH21,'Food List'!$C:$H,4,FALSE))*AJ21,""))</f>
        <v/>
      </c>
      <c r="AM21" s="274" t="str">
        <f>IF(ISBLANK(AJ21),"",IFERROR((VLOOKUP(AH21,'Food List'!$C:$H,5,FALSE))*AJ21,""))</f>
        <v/>
      </c>
      <c r="AN21" s="274" t="str">
        <f>IF(ISBLANK(AJ21),"",IFERROR((VLOOKUP(AH21,'Food List'!$C:$H,6,FALSE))*AJ21,""))</f>
        <v/>
      </c>
      <c r="AO21" s="13"/>
      <c r="AP21" s="269" t="s">
        <v>595</v>
      </c>
      <c r="AQ21" s="270"/>
      <c r="AR21" s="271"/>
      <c r="AS21" s="271" t="str">
        <f>IF(ISBLANK(AR21),"",IFERROR((VLOOKUP(AR21,'Food List'!$C:$H,2,FALSE)),""))</f>
        <v/>
      </c>
      <c r="AT21" s="271"/>
      <c r="AU21" s="272" t="str">
        <f>IF(ISBLANK(AT21),"",IFERROR((VLOOKUP(AR21,'Food List'!$C:$H,3,FALSE))*AT21,""))</f>
        <v/>
      </c>
      <c r="AV21" s="273" t="str">
        <f>IF(ISBLANK(AT21),"",IFERROR((VLOOKUP(AR21,'Food List'!$C:$H,4,FALSE))*AT21,""))</f>
        <v/>
      </c>
      <c r="AW21" s="274" t="str">
        <f>IF(ISBLANK(AT21),"",IFERROR((VLOOKUP(AR21,'Food List'!$C:$H,5,FALSE))*AT21,""))</f>
        <v/>
      </c>
      <c r="AX21" s="274" t="str">
        <f>IF(ISBLANK(AT21),"",IFERROR((VLOOKUP(AR21,'Food List'!$C:$H,6,FALSE))*AT21,""))</f>
        <v/>
      </c>
      <c r="AY21" s="319"/>
      <c r="AZ21" s="269" t="s">
        <v>595</v>
      </c>
      <c r="BA21" s="270"/>
      <c r="BB21" s="271"/>
      <c r="BC21" s="271" t="str">
        <f>IF(ISBLANK(BB21),"",IFERROR((VLOOKUP(BB21,'Food List'!$C:$H,2,FALSE)),""))</f>
        <v/>
      </c>
      <c r="BD21" s="271"/>
      <c r="BE21" s="272" t="str">
        <f>IF(ISBLANK(BD21),"",IFERROR((VLOOKUP(BB21,'Food List'!$C:$H,3,FALSE))*BD21,""))</f>
        <v/>
      </c>
      <c r="BF21" s="273" t="str">
        <f>IF(ISBLANK(BD21),"",IFERROR((VLOOKUP(BB21,'Food List'!$C:$H,4,FALSE))*BD21,""))</f>
        <v/>
      </c>
      <c r="BG21" s="274" t="str">
        <f>IF(ISBLANK(BD21),"",IFERROR((VLOOKUP(BB21,'Food List'!$C:$H,5,FALSE))*BD21,""))</f>
        <v/>
      </c>
      <c r="BH21" s="274" t="str">
        <f>IF(ISBLANK(BD21),"",IFERROR((VLOOKUP(BB21,'Food List'!$C:$H,6,FALSE))*BD21,""))</f>
        <v/>
      </c>
      <c r="BI21" s="319"/>
      <c r="BJ21" s="269" t="s">
        <v>595</v>
      </c>
      <c r="BK21" s="270"/>
      <c r="BL21" s="271"/>
      <c r="BM21" s="271" t="str">
        <f>IF(ISBLANK(BL21),"",IFERROR((VLOOKUP(BL21,'Food List'!$C:$H,2,FALSE)),""))</f>
        <v/>
      </c>
      <c r="BN21" s="271"/>
      <c r="BO21" s="272" t="str">
        <f>IF(ISBLANK(BN21),"",IFERROR((VLOOKUP(BL21,'Food List'!$C:$H,3,FALSE))*BN21,""))</f>
        <v/>
      </c>
      <c r="BP21" s="273" t="str">
        <f>IF(ISBLANK(BN21),"",IFERROR((VLOOKUP(BL21,'Food List'!$C:$H,4,FALSE))*BN21,""))</f>
        <v/>
      </c>
      <c r="BQ21" s="274" t="str">
        <f>IF(ISBLANK(BN21),"",IFERROR((VLOOKUP(BL21,'Food List'!$C:$H,5,FALSE))*BN21,""))</f>
        <v/>
      </c>
      <c r="BR21" s="274" t="str">
        <f>IF(ISBLANK(BN21),"",IFERROR((VLOOKUP(BL21,'Food List'!$C:$H,6,FALSE))*BN21,""))</f>
        <v/>
      </c>
      <c r="BS21" s="257"/>
    </row>
    <row r="22">
      <c r="A22" s="266"/>
      <c r="B22" s="277"/>
      <c r="C22" s="278"/>
      <c r="D22" s="279" t="s">
        <v>596</v>
      </c>
      <c r="E22" s="279" t="str">
        <f>IF(ISBLANK(D22),"",IFERROR((VLOOKUP(D22,'Food List'!$C:$H,2,FALSE)),""))</f>
        <v>100g</v>
      </c>
      <c r="F22" s="279">
        <v>1.0</v>
      </c>
      <c r="G22" s="280">
        <f>IF(ISBLANK(F22),"",IFERROR((VLOOKUP(D22,'Food List'!$C:$H,3,FALSE))*F22,""))</f>
        <v>106</v>
      </c>
      <c r="H22" s="281">
        <f>IF(ISBLANK(F22),"",IFERROR((VLOOKUP(D22,'Food List'!$C:$H,4,FALSE))*F22,""))</f>
        <v>24</v>
      </c>
      <c r="I22" s="282">
        <f>IF(ISBLANK(F22),"",IFERROR((VLOOKUP(D22,'Food List'!$C:$H,5,FALSE))*F22,""))</f>
        <v>0</v>
      </c>
      <c r="J22" s="282">
        <f>IF(ISBLANK(F22),"",IFERROR((VLOOKUP(D22,'Food List'!$C:$H,6,FALSE))*F22,""))</f>
        <v>1.1</v>
      </c>
      <c r="K22" s="13"/>
      <c r="L22" s="277"/>
      <c r="M22" s="278"/>
      <c r="N22" s="279" t="s">
        <v>602</v>
      </c>
      <c r="O22" s="279" t="str">
        <f>IF(ISBLANK(N22),"",IFERROR((VLOOKUP(N22,'Food List'!$C:$H,2,FALSE)),""))</f>
        <v>100g</v>
      </c>
      <c r="P22" s="279">
        <v>0.5</v>
      </c>
      <c r="Q22" s="280">
        <f>IF(ISBLANK(P22),"",IFERROR((VLOOKUP(N22,'Food List'!$C:$H,3,FALSE))*P22,""))</f>
        <v>174.5</v>
      </c>
      <c r="R22" s="281">
        <f>IF(ISBLANK(P22),"",IFERROR((VLOOKUP(N22,'Food List'!$C:$H,4,FALSE))*P22,""))</f>
        <v>3.75</v>
      </c>
      <c r="S22" s="282">
        <f>IF(ISBLANK(P22),"",IFERROR((VLOOKUP(N22,'Food List'!$C:$H,5,FALSE))*P22,""))</f>
        <v>39</v>
      </c>
      <c r="T22" s="282">
        <f>IF(ISBLANK(P22),"",IFERROR((VLOOKUP(N22,'Food List'!$C:$H,6,FALSE))*P22,""))</f>
        <v>0.35</v>
      </c>
      <c r="U22" s="13"/>
      <c r="V22" s="277"/>
      <c r="W22" s="278"/>
      <c r="X22" s="279" t="s">
        <v>597</v>
      </c>
      <c r="Y22" s="279" t="str">
        <f>IF(ISBLANK(X22),"",IFERROR((VLOOKUP(X22,'Food List'!$C:$H,2,FALSE)),""))</f>
        <v>100g</v>
      </c>
      <c r="Z22" s="279">
        <v>1.0</v>
      </c>
      <c r="AA22" s="280">
        <f>IF(ISBLANK(Z22),"",IFERROR((VLOOKUP(X22,'Food List'!$C:$H,3,FALSE))*Z22,""))</f>
        <v>36</v>
      </c>
      <c r="AB22" s="281">
        <f>IF(ISBLANK(Z22),"",IFERROR((VLOOKUP(X22,'Food List'!$C:$H,4,FALSE))*Z22,""))</f>
        <v>2.7</v>
      </c>
      <c r="AC22" s="282">
        <f>IF(ISBLANK(Z22),"",IFERROR((VLOOKUP(X22,'Food List'!$C:$H,5,FALSE))*Z22,""))</f>
        <v>4.9</v>
      </c>
      <c r="AD22" s="282">
        <f>IF(ISBLANK(Z22),"",IFERROR((VLOOKUP(X22,'Food List'!$C:$H,6,FALSE))*Z22,""))</f>
        <v>0.6</v>
      </c>
      <c r="AE22" s="13"/>
      <c r="AF22" s="277"/>
      <c r="AG22" s="278"/>
      <c r="AH22" s="279"/>
      <c r="AI22" s="279" t="str">
        <f>IF(ISBLANK(AH22),"",IFERROR((VLOOKUP(AH22,'Food List'!$C:$H,2,FALSE)),""))</f>
        <v/>
      </c>
      <c r="AJ22" s="279"/>
      <c r="AK22" s="280" t="str">
        <f>IF(ISBLANK(AJ22),"",IFERROR((VLOOKUP(AH22,'Food List'!$C:$H,3,FALSE))*AJ22,""))</f>
        <v/>
      </c>
      <c r="AL22" s="281" t="str">
        <f>IF(ISBLANK(AJ22),"",IFERROR((VLOOKUP(AH22,'Food List'!$C:$H,4,FALSE))*AJ22,""))</f>
        <v/>
      </c>
      <c r="AM22" s="282" t="str">
        <f>IF(ISBLANK(AJ22),"",IFERROR((VLOOKUP(AH22,'Food List'!$C:$H,5,FALSE))*AJ22,""))</f>
        <v/>
      </c>
      <c r="AN22" s="282" t="str">
        <f>IF(ISBLANK(AJ22),"",IFERROR((VLOOKUP(AH22,'Food List'!$C:$H,6,FALSE))*AJ22,""))</f>
        <v/>
      </c>
      <c r="AO22" s="13"/>
      <c r="AP22" s="277"/>
      <c r="AQ22" s="278"/>
      <c r="AR22" s="279"/>
      <c r="AS22" s="279" t="str">
        <f>IF(ISBLANK(AR22),"",IFERROR((VLOOKUP(AR22,'Food List'!$C:$H,2,FALSE)),""))</f>
        <v/>
      </c>
      <c r="AT22" s="279"/>
      <c r="AU22" s="280" t="str">
        <f>IF(ISBLANK(AT22),"",IFERROR((VLOOKUP(AR22,'Food List'!$C:$H,3,FALSE))*AT22,""))</f>
        <v/>
      </c>
      <c r="AV22" s="281" t="str">
        <f>IF(ISBLANK(AT22),"",IFERROR((VLOOKUP(AR22,'Food List'!$C:$H,4,FALSE))*AT22,""))</f>
        <v/>
      </c>
      <c r="AW22" s="282" t="str">
        <f>IF(ISBLANK(AT22),"",IFERROR((VLOOKUP(AR22,'Food List'!$C:$H,5,FALSE))*AT22,""))</f>
        <v/>
      </c>
      <c r="AX22" s="282" t="str">
        <f>IF(ISBLANK(AT22),"",IFERROR((VLOOKUP(AR22,'Food List'!$C:$H,6,FALSE))*AT22,""))</f>
        <v/>
      </c>
      <c r="AY22" s="318"/>
      <c r="AZ22" s="277"/>
      <c r="BA22" s="278"/>
      <c r="BB22" s="279"/>
      <c r="BC22" s="279" t="str">
        <f>IF(ISBLANK(BB22),"",IFERROR((VLOOKUP(BB22,'Food List'!$C:$H,2,FALSE)),""))</f>
        <v/>
      </c>
      <c r="BD22" s="279"/>
      <c r="BE22" s="280" t="str">
        <f>IF(ISBLANK(BD22),"",IFERROR((VLOOKUP(BB22,'Food List'!$C:$H,3,FALSE))*BD22,""))</f>
        <v/>
      </c>
      <c r="BF22" s="281" t="str">
        <f>IF(ISBLANK(BD22),"",IFERROR((VLOOKUP(BB22,'Food List'!$C:$H,4,FALSE))*BD22,""))</f>
        <v/>
      </c>
      <c r="BG22" s="282" t="str">
        <f>IF(ISBLANK(BD22),"",IFERROR((VLOOKUP(BB22,'Food List'!$C:$H,5,FALSE))*BD22,""))</f>
        <v/>
      </c>
      <c r="BH22" s="282" t="str">
        <f>IF(ISBLANK(BD22),"",IFERROR((VLOOKUP(BB22,'Food List'!$C:$H,6,FALSE))*BD22,""))</f>
        <v/>
      </c>
      <c r="BI22" s="318"/>
      <c r="BJ22" s="277"/>
      <c r="BK22" s="278"/>
      <c r="BL22" s="279"/>
      <c r="BM22" s="279" t="str">
        <f>IF(ISBLANK(BL22),"",IFERROR((VLOOKUP(BL22,'Food List'!$C:$H,2,FALSE)),""))</f>
        <v/>
      </c>
      <c r="BN22" s="279"/>
      <c r="BO22" s="280" t="str">
        <f>IF(ISBLANK(BN22),"",IFERROR((VLOOKUP(BL22,'Food List'!$C:$H,3,FALSE))*BN22,""))</f>
        <v/>
      </c>
      <c r="BP22" s="281" t="str">
        <f>IF(ISBLANK(BN22),"",IFERROR((VLOOKUP(BL22,'Food List'!$C:$H,4,FALSE))*BN22,""))</f>
        <v/>
      </c>
      <c r="BQ22" s="282" t="str">
        <f>IF(ISBLANK(BN22),"",IFERROR((VLOOKUP(BL22,'Food List'!$C:$H,5,FALSE))*BN22,""))</f>
        <v/>
      </c>
      <c r="BR22" s="282" t="str">
        <f>IF(ISBLANK(BN22),"",IFERROR((VLOOKUP(BL22,'Food List'!$C:$H,6,FALSE))*BN22,""))</f>
        <v/>
      </c>
      <c r="BS22" s="261"/>
    </row>
    <row r="23">
      <c r="A23" s="266"/>
      <c r="B23" s="285"/>
      <c r="C23" s="286"/>
      <c r="D23" s="279" t="s">
        <v>629</v>
      </c>
      <c r="E23" s="279" t="str">
        <f>IF(ISBLANK(D23),"",IFERROR((VLOOKUP(D23,'Food List'!$C:$H,2,FALSE)),""))</f>
        <v>100g</v>
      </c>
      <c r="F23" s="279">
        <v>0.5</v>
      </c>
      <c r="G23" s="280">
        <f>IF(ISBLANK(F23),"",IFERROR((VLOOKUP(D23,'Food List'!$C:$H,3,FALSE))*F23,""))</f>
        <v>208</v>
      </c>
      <c r="H23" s="281">
        <f>IF(ISBLANK(F23),"",IFERROR((VLOOKUP(D23,'Food List'!$C:$H,4,FALSE))*F23,""))</f>
        <v>12.7</v>
      </c>
      <c r="I23" s="282">
        <f>IF(ISBLANK(F23),"",IFERROR((VLOOKUP(D23,'Food List'!$C:$H,5,FALSE))*F23,""))</f>
        <v>0.05</v>
      </c>
      <c r="J23" s="282">
        <f>IF(ISBLANK(F23),"",IFERROR((VLOOKUP(D23,'Food List'!$C:$H,6,FALSE))*F23,""))</f>
        <v>17.45</v>
      </c>
      <c r="K23" s="13"/>
      <c r="L23" s="285"/>
      <c r="M23" s="286"/>
      <c r="N23" s="279" t="s">
        <v>597</v>
      </c>
      <c r="O23" s="279" t="str">
        <f>IF(ISBLANK(N23),"",IFERROR((VLOOKUP(N23,'Food List'!$C:$H,2,FALSE)),""))</f>
        <v>100g</v>
      </c>
      <c r="P23" s="279">
        <v>1.0</v>
      </c>
      <c r="Q23" s="280">
        <f>IF(ISBLANK(P23),"",IFERROR((VLOOKUP(N23,'Food List'!$C:$H,3,FALSE))*P23,""))</f>
        <v>36</v>
      </c>
      <c r="R23" s="281">
        <f>IF(ISBLANK(P23),"",IFERROR((VLOOKUP(N23,'Food List'!$C:$H,4,FALSE))*P23,""))</f>
        <v>2.7</v>
      </c>
      <c r="S23" s="282">
        <f>IF(ISBLANK(P23),"",IFERROR((VLOOKUP(N23,'Food List'!$C:$H,5,FALSE))*P23,""))</f>
        <v>4.9</v>
      </c>
      <c r="T23" s="282">
        <f>IF(ISBLANK(P23),"",IFERROR((VLOOKUP(N23,'Food List'!$C:$H,6,FALSE))*P23,""))</f>
        <v>0.6</v>
      </c>
      <c r="U23" s="13"/>
      <c r="V23" s="285"/>
      <c r="W23" s="286"/>
      <c r="X23" s="279"/>
      <c r="Y23" s="279" t="str">
        <f>IF(ISBLANK(X23),"",IFERROR((VLOOKUP(X23,'Food List'!$C:$H,2,FALSE)),""))</f>
        <v/>
      </c>
      <c r="Z23" s="279"/>
      <c r="AA23" s="280" t="str">
        <f>IF(ISBLANK(Z23),"",IFERROR((VLOOKUP(X23,'Food List'!$C:$H,3,FALSE))*Z23,""))</f>
        <v/>
      </c>
      <c r="AB23" s="281" t="str">
        <f>IF(ISBLANK(Z23),"",IFERROR((VLOOKUP(X23,'Food List'!$C:$H,4,FALSE))*Z23,""))</f>
        <v/>
      </c>
      <c r="AC23" s="282" t="str">
        <f>IF(ISBLANK(Z23),"",IFERROR((VLOOKUP(X23,'Food List'!$C:$H,5,FALSE))*Z23,""))</f>
        <v/>
      </c>
      <c r="AD23" s="282" t="str">
        <f>IF(ISBLANK(Z23),"",IFERROR((VLOOKUP(X23,'Food List'!$C:$H,6,FALSE))*Z23,""))</f>
        <v/>
      </c>
      <c r="AE23" s="13"/>
      <c r="AF23" s="285"/>
      <c r="AG23" s="286"/>
      <c r="AH23" s="279"/>
      <c r="AI23" s="279" t="str">
        <f>IF(ISBLANK(AH23),"",IFERROR((VLOOKUP(AH23,'Food List'!$C:$H,2,FALSE)),""))</f>
        <v/>
      </c>
      <c r="AJ23" s="279"/>
      <c r="AK23" s="280" t="str">
        <f>IF(ISBLANK(AJ23),"",IFERROR((VLOOKUP(AH23,'Food List'!$C:$H,3,FALSE))*AJ23,""))</f>
        <v/>
      </c>
      <c r="AL23" s="281" t="str">
        <f>IF(ISBLANK(AJ23),"",IFERROR((VLOOKUP(AH23,'Food List'!$C:$H,4,FALSE))*AJ23,""))</f>
        <v/>
      </c>
      <c r="AM23" s="282" t="str">
        <f>IF(ISBLANK(AJ23),"",IFERROR((VLOOKUP(AH23,'Food List'!$C:$H,5,FALSE))*AJ23,""))</f>
        <v/>
      </c>
      <c r="AN23" s="282" t="str">
        <f>IF(ISBLANK(AJ23),"",IFERROR((VLOOKUP(AH23,'Food List'!$C:$H,6,FALSE))*AJ23,""))</f>
        <v/>
      </c>
      <c r="AO23" s="13"/>
      <c r="AP23" s="285"/>
      <c r="AQ23" s="286"/>
      <c r="AR23" s="279"/>
      <c r="AS23" s="279" t="str">
        <f>IF(ISBLANK(AR23),"",IFERROR((VLOOKUP(AR23,'Food List'!$C:$H,2,FALSE)),""))</f>
        <v/>
      </c>
      <c r="AT23" s="279"/>
      <c r="AU23" s="280" t="str">
        <f>IF(ISBLANK(AT23),"",IFERROR((VLOOKUP(AR23,'Food List'!$C:$H,3,FALSE))*AT23,""))</f>
        <v/>
      </c>
      <c r="AV23" s="281" t="str">
        <f>IF(ISBLANK(AT23),"",IFERROR((VLOOKUP(AR23,'Food List'!$C:$H,4,FALSE))*AT23,""))</f>
        <v/>
      </c>
      <c r="AW23" s="282" t="str">
        <f>IF(ISBLANK(AT23),"",IFERROR((VLOOKUP(AR23,'Food List'!$C:$H,5,FALSE))*AT23,""))</f>
        <v/>
      </c>
      <c r="AX23" s="282" t="str">
        <f>IF(ISBLANK(AT23),"",IFERROR((VLOOKUP(AR23,'Food List'!$C:$H,6,FALSE))*AT23,""))</f>
        <v/>
      </c>
      <c r="AY23" s="319"/>
      <c r="AZ23" s="285"/>
      <c r="BA23" s="286"/>
      <c r="BB23" s="279"/>
      <c r="BC23" s="279" t="str">
        <f>IF(ISBLANK(BB23),"",IFERROR((VLOOKUP(BB23,'Food List'!$C:$H,2,FALSE)),""))</f>
        <v/>
      </c>
      <c r="BD23" s="279"/>
      <c r="BE23" s="280" t="str">
        <f>IF(ISBLANK(BD23),"",IFERROR((VLOOKUP(BB23,'Food List'!$C:$H,3,FALSE))*BD23,""))</f>
        <v/>
      </c>
      <c r="BF23" s="281" t="str">
        <f>IF(ISBLANK(BD23),"",IFERROR((VLOOKUP(BB23,'Food List'!$C:$H,4,FALSE))*BD23,""))</f>
        <v/>
      </c>
      <c r="BG23" s="282" t="str">
        <f>IF(ISBLANK(BD23),"",IFERROR((VLOOKUP(BB23,'Food List'!$C:$H,5,FALSE))*BD23,""))</f>
        <v/>
      </c>
      <c r="BH23" s="282" t="str">
        <f>IF(ISBLANK(BD23),"",IFERROR((VLOOKUP(BB23,'Food List'!$C:$H,6,FALSE))*BD23,""))</f>
        <v/>
      </c>
      <c r="BI23" s="319"/>
      <c r="BJ23" s="285"/>
      <c r="BK23" s="286"/>
      <c r="BL23" s="279"/>
      <c r="BM23" s="279" t="str">
        <f>IF(ISBLANK(BL23),"",IFERROR((VLOOKUP(BL23,'Food List'!$C:$H,2,FALSE)),""))</f>
        <v/>
      </c>
      <c r="BN23" s="279"/>
      <c r="BO23" s="280" t="str">
        <f>IF(ISBLANK(BN23),"",IFERROR((VLOOKUP(BL23,'Food List'!$C:$H,3,FALSE))*BN23,""))</f>
        <v/>
      </c>
      <c r="BP23" s="281" t="str">
        <f>IF(ISBLANK(BN23),"",IFERROR((VLOOKUP(BL23,'Food List'!$C:$H,4,FALSE))*BN23,""))</f>
        <v/>
      </c>
      <c r="BQ23" s="282" t="str">
        <f>IF(ISBLANK(BN23),"",IFERROR((VLOOKUP(BL23,'Food List'!$C:$H,5,FALSE))*BN23,""))</f>
        <v/>
      </c>
      <c r="BR23" s="282" t="str">
        <f>IF(ISBLANK(BN23),"",IFERROR((VLOOKUP(BL23,'Food List'!$C:$H,6,FALSE))*BN23,""))</f>
        <v/>
      </c>
      <c r="BS23" s="257"/>
    </row>
    <row r="24">
      <c r="A24" s="266"/>
      <c r="B24" s="277"/>
      <c r="C24" s="278"/>
      <c r="D24" s="279"/>
      <c r="E24" s="279" t="str">
        <f>IF(ISBLANK(D24),"",IFERROR((VLOOKUP(D24,'Food List'!$C:$H,2,FALSE)),""))</f>
        <v/>
      </c>
      <c r="F24" s="279"/>
      <c r="G24" s="280" t="str">
        <f>IF(ISBLANK(F24),"",IFERROR((VLOOKUP(D24,'Food List'!$C:$H,3,FALSE))*F24,""))</f>
        <v/>
      </c>
      <c r="H24" s="281" t="str">
        <f>IF(ISBLANK(F24),"",IFERROR((VLOOKUP(D24,'Food List'!$C:$H,4,FALSE))*F24,""))</f>
        <v/>
      </c>
      <c r="I24" s="282" t="str">
        <f>IF(ISBLANK(F24),"",IFERROR((VLOOKUP(D24,'Food List'!$C:$H,5,FALSE))*F24,""))</f>
        <v/>
      </c>
      <c r="J24" s="282" t="str">
        <f>IF(ISBLANK(F24),"",IFERROR((VLOOKUP(D24,'Food List'!$C:$H,6,FALSE))*F24,""))</f>
        <v/>
      </c>
      <c r="K24" s="13"/>
      <c r="L24" s="277"/>
      <c r="M24" s="278"/>
      <c r="N24" s="279"/>
      <c r="O24" s="279" t="str">
        <f>IF(ISBLANK(N24),"",IFERROR((VLOOKUP(N24,'Food List'!$C:$H,2,FALSE)),""))</f>
        <v/>
      </c>
      <c r="P24" s="279"/>
      <c r="Q24" s="280" t="str">
        <f>IF(ISBLANK(P24),"",IFERROR((VLOOKUP(N24,'Food List'!$C:$H,3,FALSE))*P24,""))</f>
        <v/>
      </c>
      <c r="R24" s="281" t="str">
        <f>IF(ISBLANK(P24),"",IFERROR((VLOOKUP(N24,'Food List'!$C:$H,4,FALSE))*P24,""))</f>
        <v/>
      </c>
      <c r="S24" s="282" t="str">
        <f>IF(ISBLANK(P24),"",IFERROR((VLOOKUP(N24,'Food List'!$C:$H,5,FALSE))*P24,""))</f>
        <v/>
      </c>
      <c r="T24" s="282" t="str">
        <f>IF(ISBLANK(P24),"",IFERROR((VLOOKUP(N24,'Food List'!$C:$H,6,FALSE))*P24,""))</f>
        <v/>
      </c>
      <c r="U24" s="13"/>
      <c r="V24" s="277"/>
      <c r="W24" s="278"/>
      <c r="X24" s="279"/>
      <c r="Y24" s="279" t="str">
        <f>IF(ISBLANK(X24),"",IFERROR((VLOOKUP(X24,'Food List'!$C:$H,2,FALSE)),""))</f>
        <v/>
      </c>
      <c r="Z24" s="279"/>
      <c r="AA24" s="280" t="str">
        <f>IF(ISBLANK(Z24),"",IFERROR((VLOOKUP(X24,'Food List'!$C:$H,3,FALSE))*Z24,""))</f>
        <v/>
      </c>
      <c r="AB24" s="281" t="str">
        <f>IF(ISBLANK(Z24),"",IFERROR((VLOOKUP(X24,'Food List'!$C:$H,4,FALSE))*Z24,""))</f>
        <v/>
      </c>
      <c r="AC24" s="282" t="str">
        <f>IF(ISBLANK(Z24),"",IFERROR((VLOOKUP(X24,'Food List'!$C:$H,5,FALSE))*Z24,""))</f>
        <v/>
      </c>
      <c r="AD24" s="282" t="str">
        <f>IF(ISBLANK(Z24),"",IFERROR((VLOOKUP(X24,'Food List'!$C:$H,6,FALSE))*Z24,""))</f>
        <v/>
      </c>
      <c r="AE24" s="13"/>
      <c r="AF24" s="277"/>
      <c r="AG24" s="278"/>
      <c r="AH24" s="279"/>
      <c r="AI24" s="279" t="str">
        <f>IF(ISBLANK(AH24),"",IFERROR((VLOOKUP(AH24,'Food List'!$C:$H,2,FALSE)),""))</f>
        <v/>
      </c>
      <c r="AJ24" s="279"/>
      <c r="AK24" s="280" t="str">
        <f>IF(ISBLANK(AJ24),"",IFERROR((VLOOKUP(AH24,'Food List'!$C:$H,3,FALSE))*AJ24,""))</f>
        <v/>
      </c>
      <c r="AL24" s="281" t="str">
        <f>IF(ISBLANK(AJ24),"",IFERROR((VLOOKUP(AH24,'Food List'!$C:$H,4,FALSE))*AJ24,""))</f>
        <v/>
      </c>
      <c r="AM24" s="282" t="str">
        <f>IF(ISBLANK(AJ24),"",IFERROR((VLOOKUP(AH24,'Food List'!$C:$H,5,FALSE))*AJ24,""))</f>
        <v/>
      </c>
      <c r="AN24" s="282" t="str">
        <f>IF(ISBLANK(AJ24),"",IFERROR((VLOOKUP(AH24,'Food List'!$C:$H,6,FALSE))*AJ24,""))</f>
        <v/>
      </c>
      <c r="AO24" s="13"/>
      <c r="AP24" s="277"/>
      <c r="AQ24" s="278"/>
      <c r="AR24" s="279"/>
      <c r="AS24" s="279" t="str">
        <f>IF(ISBLANK(AR24),"",IFERROR((VLOOKUP(AR24,'Food List'!$C:$H,2,FALSE)),""))</f>
        <v/>
      </c>
      <c r="AT24" s="279"/>
      <c r="AU24" s="280" t="str">
        <f>IF(ISBLANK(AT24),"",IFERROR((VLOOKUP(AR24,'Food List'!$C:$H,3,FALSE))*AT24,""))</f>
        <v/>
      </c>
      <c r="AV24" s="281" t="str">
        <f>IF(ISBLANK(AT24),"",IFERROR((VLOOKUP(AR24,'Food List'!$C:$H,4,FALSE))*AT24,""))</f>
        <v/>
      </c>
      <c r="AW24" s="282" t="str">
        <f>IF(ISBLANK(AT24),"",IFERROR((VLOOKUP(AR24,'Food List'!$C:$H,5,FALSE))*AT24,""))</f>
        <v/>
      </c>
      <c r="AX24" s="282" t="str">
        <f>IF(ISBLANK(AT24),"",IFERROR((VLOOKUP(AR24,'Food List'!$C:$H,6,FALSE))*AT24,""))</f>
        <v/>
      </c>
      <c r="AY24" s="318"/>
      <c r="AZ24" s="277"/>
      <c r="BA24" s="278"/>
      <c r="BB24" s="279"/>
      <c r="BC24" s="279" t="str">
        <f>IF(ISBLANK(BB24),"",IFERROR((VLOOKUP(BB24,'Food List'!$C:$H,2,FALSE)),""))</f>
        <v/>
      </c>
      <c r="BD24" s="279"/>
      <c r="BE24" s="280" t="str">
        <f>IF(ISBLANK(BD24),"",IFERROR((VLOOKUP(BB24,'Food List'!$C:$H,3,FALSE))*BD24,""))</f>
        <v/>
      </c>
      <c r="BF24" s="281" t="str">
        <f>IF(ISBLANK(BD24),"",IFERROR((VLOOKUP(BB24,'Food List'!$C:$H,4,FALSE))*BD24,""))</f>
        <v/>
      </c>
      <c r="BG24" s="282" t="str">
        <f>IF(ISBLANK(BD24),"",IFERROR((VLOOKUP(BB24,'Food List'!$C:$H,5,FALSE))*BD24,""))</f>
        <v/>
      </c>
      <c r="BH24" s="282" t="str">
        <f>IF(ISBLANK(BD24),"",IFERROR((VLOOKUP(BB24,'Food List'!$C:$H,6,FALSE))*BD24,""))</f>
        <v/>
      </c>
      <c r="BI24" s="318"/>
      <c r="BJ24" s="277"/>
      <c r="BK24" s="278"/>
      <c r="BL24" s="279"/>
      <c r="BM24" s="279" t="str">
        <f>IF(ISBLANK(BL24),"",IFERROR((VLOOKUP(BL24,'Food List'!$C:$H,2,FALSE)),""))</f>
        <v/>
      </c>
      <c r="BN24" s="279"/>
      <c r="BO24" s="280" t="str">
        <f>IF(ISBLANK(BN24),"",IFERROR((VLOOKUP(BL24,'Food List'!$C:$H,3,FALSE))*BN24,""))</f>
        <v/>
      </c>
      <c r="BP24" s="281" t="str">
        <f>IF(ISBLANK(BN24),"",IFERROR((VLOOKUP(BL24,'Food List'!$C:$H,4,FALSE))*BN24,""))</f>
        <v/>
      </c>
      <c r="BQ24" s="282" t="str">
        <f>IF(ISBLANK(BN24),"",IFERROR((VLOOKUP(BL24,'Food List'!$C:$H,5,FALSE))*BN24,""))</f>
        <v/>
      </c>
      <c r="BR24" s="282" t="str">
        <f>IF(ISBLANK(BN24),"",IFERROR((VLOOKUP(BL24,'Food List'!$C:$H,6,FALSE))*BN24,""))</f>
        <v/>
      </c>
      <c r="BS24" s="261"/>
    </row>
    <row r="25">
      <c r="A25" s="266"/>
      <c r="B25" s="285"/>
      <c r="C25" s="286"/>
      <c r="D25" s="279"/>
      <c r="E25" s="279" t="str">
        <f>IF(ISBLANK(D25),"",IFERROR((VLOOKUP(D25,'Food List'!$C:$H,2,FALSE)),""))</f>
        <v/>
      </c>
      <c r="F25" s="279"/>
      <c r="G25" s="280" t="str">
        <f>IF(ISBLANK(F25),"",IFERROR((VLOOKUP(D25,'Food List'!$C:$H,3,FALSE))*F25,""))</f>
        <v/>
      </c>
      <c r="H25" s="281" t="str">
        <f>IF(ISBLANK(F25),"",IFERROR((VLOOKUP(D25,'Food List'!$C:$H,4,FALSE))*F25,""))</f>
        <v/>
      </c>
      <c r="I25" s="282" t="str">
        <f>IF(ISBLANK(F25),"",IFERROR((VLOOKUP(D25,'Food List'!$C:$H,5,FALSE))*F25,""))</f>
        <v/>
      </c>
      <c r="J25" s="282" t="str">
        <f>IF(ISBLANK(F25),"",IFERROR((VLOOKUP(D25,'Food List'!$C:$H,6,FALSE))*F25,""))</f>
        <v/>
      </c>
      <c r="K25" s="13"/>
      <c r="L25" s="285"/>
      <c r="M25" s="286"/>
      <c r="N25" s="279"/>
      <c r="O25" s="279" t="str">
        <f>IF(ISBLANK(N25),"",IFERROR((VLOOKUP(N25,'Food List'!$C:$H,2,FALSE)),""))</f>
        <v/>
      </c>
      <c r="P25" s="279"/>
      <c r="Q25" s="280" t="str">
        <f>IF(ISBLANK(P25),"",IFERROR((VLOOKUP(N25,'Food List'!$C:$H,3,FALSE))*P25,""))</f>
        <v/>
      </c>
      <c r="R25" s="281" t="str">
        <f>IF(ISBLANK(P25),"",IFERROR((VLOOKUP(N25,'Food List'!$C:$H,4,FALSE))*P25,""))</f>
        <v/>
      </c>
      <c r="S25" s="282" t="str">
        <f>IF(ISBLANK(P25),"",IFERROR((VLOOKUP(N25,'Food List'!$C:$H,5,FALSE))*P25,""))</f>
        <v/>
      </c>
      <c r="T25" s="282" t="str">
        <f>IF(ISBLANK(P25),"",IFERROR((VLOOKUP(N25,'Food List'!$C:$H,6,FALSE))*P25,""))</f>
        <v/>
      </c>
      <c r="U25" s="13"/>
      <c r="V25" s="285"/>
      <c r="W25" s="286"/>
      <c r="X25" s="279"/>
      <c r="Y25" s="279" t="str">
        <f>IF(ISBLANK(X25),"",IFERROR((VLOOKUP(X25,'Food List'!$C:$H,2,FALSE)),""))</f>
        <v/>
      </c>
      <c r="Z25" s="279"/>
      <c r="AA25" s="280" t="str">
        <f>IF(ISBLANK(Z25),"",IFERROR((VLOOKUP(X25,'Food List'!$C:$H,3,FALSE))*Z25,""))</f>
        <v/>
      </c>
      <c r="AB25" s="281" t="str">
        <f>IF(ISBLANK(Z25),"",IFERROR((VLOOKUP(X25,'Food List'!$C:$H,4,FALSE))*Z25,""))</f>
        <v/>
      </c>
      <c r="AC25" s="282" t="str">
        <f>IF(ISBLANK(Z25),"",IFERROR((VLOOKUP(X25,'Food List'!$C:$H,5,FALSE))*Z25,""))</f>
        <v/>
      </c>
      <c r="AD25" s="282" t="str">
        <f>IF(ISBLANK(Z25),"",IFERROR((VLOOKUP(X25,'Food List'!$C:$H,6,FALSE))*Z25,""))</f>
        <v/>
      </c>
      <c r="AE25" s="13"/>
      <c r="AF25" s="285"/>
      <c r="AG25" s="286"/>
      <c r="AH25" s="279"/>
      <c r="AI25" s="279" t="str">
        <f>IF(ISBLANK(AH25),"",IFERROR((VLOOKUP(AH25,'Food List'!$C:$H,2,FALSE)),""))</f>
        <v/>
      </c>
      <c r="AJ25" s="279"/>
      <c r="AK25" s="280" t="str">
        <f>IF(ISBLANK(AJ25),"",IFERROR((VLOOKUP(AH25,'Food List'!$C:$H,3,FALSE))*AJ25,""))</f>
        <v/>
      </c>
      <c r="AL25" s="281" t="str">
        <f>IF(ISBLANK(AJ25),"",IFERROR((VLOOKUP(AH25,'Food List'!$C:$H,4,FALSE))*AJ25,""))</f>
        <v/>
      </c>
      <c r="AM25" s="282" t="str">
        <f>IF(ISBLANK(AJ25),"",IFERROR((VLOOKUP(AH25,'Food List'!$C:$H,5,FALSE))*AJ25,""))</f>
        <v/>
      </c>
      <c r="AN25" s="282" t="str">
        <f>IF(ISBLANK(AJ25),"",IFERROR((VLOOKUP(AH25,'Food List'!$C:$H,6,FALSE))*AJ25,""))</f>
        <v/>
      </c>
      <c r="AO25" s="13"/>
      <c r="AP25" s="285"/>
      <c r="AQ25" s="286"/>
      <c r="AR25" s="279"/>
      <c r="AS25" s="279" t="str">
        <f>IF(ISBLANK(AR25),"",IFERROR((VLOOKUP(AR25,'Food List'!$C:$H,2,FALSE)),""))</f>
        <v/>
      </c>
      <c r="AT25" s="279"/>
      <c r="AU25" s="280" t="str">
        <f>IF(ISBLANK(AT25),"",IFERROR((VLOOKUP(AR25,'Food List'!$C:$H,3,FALSE))*AT25,""))</f>
        <v/>
      </c>
      <c r="AV25" s="281" t="str">
        <f>IF(ISBLANK(AT25),"",IFERROR((VLOOKUP(AR25,'Food List'!$C:$H,4,FALSE))*AT25,""))</f>
        <v/>
      </c>
      <c r="AW25" s="282" t="str">
        <f>IF(ISBLANK(AT25),"",IFERROR((VLOOKUP(AR25,'Food List'!$C:$H,5,FALSE))*AT25,""))</f>
        <v/>
      </c>
      <c r="AX25" s="282" t="str">
        <f>IF(ISBLANK(AT25),"",IFERROR((VLOOKUP(AR25,'Food List'!$C:$H,6,FALSE))*AT25,""))</f>
        <v/>
      </c>
      <c r="AY25" s="319"/>
      <c r="AZ25" s="285"/>
      <c r="BA25" s="286"/>
      <c r="BB25" s="279"/>
      <c r="BC25" s="279" t="str">
        <f>IF(ISBLANK(BB25),"",IFERROR((VLOOKUP(BB25,'Food List'!$C:$H,2,FALSE)),""))</f>
        <v/>
      </c>
      <c r="BD25" s="279"/>
      <c r="BE25" s="280" t="str">
        <f>IF(ISBLANK(BD25),"",IFERROR((VLOOKUP(BB25,'Food List'!$C:$H,3,FALSE))*BD25,""))</f>
        <v/>
      </c>
      <c r="BF25" s="281" t="str">
        <f>IF(ISBLANK(BD25),"",IFERROR((VLOOKUP(BB25,'Food List'!$C:$H,4,FALSE))*BD25,""))</f>
        <v/>
      </c>
      <c r="BG25" s="282" t="str">
        <f>IF(ISBLANK(BD25),"",IFERROR((VLOOKUP(BB25,'Food List'!$C:$H,5,FALSE))*BD25,""))</f>
        <v/>
      </c>
      <c r="BH25" s="282" t="str">
        <f>IF(ISBLANK(BD25),"",IFERROR((VLOOKUP(BB25,'Food List'!$C:$H,6,FALSE))*BD25,""))</f>
        <v/>
      </c>
      <c r="BI25" s="319"/>
      <c r="BJ25" s="285"/>
      <c r="BK25" s="286"/>
      <c r="BL25" s="279"/>
      <c r="BM25" s="279" t="str">
        <f>IF(ISBLANK(BL25),"",IFERROR((VLOOKUP(BL25,'Food List'!$C:$H,2,FALSE)),""))</f>
        <v/>
      </c>
      <c r="BN25" s="279"/>
      <c r="BO25" s="280" t="str">
        <f>IF(ISBLANK(BN25),"",IFERROR((VLOOKUP(BL25,'Food List'!$C:$H,3,FALSE))*BN25,""))</f>
        <v/>
      </c>
      <c r="BP25" s="281" t="str">
        <f>IF(ISBLANK(BN25),"",IFERROR((VLOOKUP(BL25,'Food List'!$C:$H,4,FALSE))*BN25,""))</f>
        <v/>
      </c>
      <c r="BQ25" s="282" t="str">
        <f>IF(ISBLANK(BN25),"",IFERROR((VLOOKUP(BL25,'Food List'!$C:$H,5,FALSE))*BN25,""))</f>
        <v/>
      </c>
      <c r="BR25" s="282" t="str">
        <f>IF(ISBLANK(BN25),"",IFERROR((VLOOKUP(BL25,'Food List'!$C:$H,6,FALSE))*BN25,""))</f>
        <v/>
      </c>
      <c r="BS25" s="257"/>
    </row>
    <row r="26">
      <c r="A26" s="266"/>
      <c r="B26" s="277"/>
      <c r="C26" s="278"/>
      <c r="D26" s="287"/>
      <c r="E26" s="287" t="str">
        <f>IF(ISBLANK(D26),"",IFERROR((VLOOKUP(D26,'Food List'!$C:$H,2,FALSE)),""))</f>
        <v/>
      </c>
      <c r="F26" s="287"/>
      <c r="G26" s="288" t="str">
        <f>IF(ISBLANK(F26),"",IFERROR((VLOOKUP(D26,'Food List'!$C:$H,3,FALSE))*F26,""))</f>
        <v/>
      </c>
      <c r="H26" s="289" t="str">
        <f>IF(ISBLANK(F26),"",IFERROR((VLOOKUP(D26,'Food List'!$C:$H,4,FALSE))*F26,""))</f>
        <v/>
      </c>
      <c r="I26" s="290" t="str">
        <f>IF(ISBLANK(F26),"",IFERROR((VLOOKUP(D26,'Food List'!$C:$H,5,FALSE))*F26,""))</f>
        <v/>
      </c>
      <c r="J26" s="290" t="str">
        <f>IF(ISBLANK(F26),"",IFERROR((VLOOKUP(D26,'Food List'!$C:$H,6,FALSE))*F26,""))</f>
        <v/>
      </c>
      <c r="K26" s="13"/>
      <c r="L26" s="277"/>
      <c r="M26" s="278"/>
      <c r="N26" s="287"/>
      <c r="O26" s="287" t="str">
        <f>IF(ISBLANK(N26),"",IFERROR((VLOOKUP(N26,'Food List'!$C:$H,2,FALSE)),""))</f>
        <v/>
      </c>
      <c r="P26" s="287"/>
      <c r="Q26" s="288" t="str">
        <f>IF(ISBLANK(P26),"",IFERROR((VLOOKUP(N26,'Food List'!$C:$H,3,FALSE))*P26,""))</f>
        <v/>
      </c>
      <c r="R26" s="289" t="str">
        <f>IF(ISBLANK(P26),"",IFERROR((VLOOKUP(N26,'Food List'!$C:$H,4,FALSE))*P26,""))</f>
        <v/>
      </c>
      <c r="S26" s="290" t="str">
        <f>IF(ISBLANK(P26),"",IFERROR((VLOOKUP(N26,'Food List'!$C:$H,5,FALSE))*P26,""))</f>
        <v/>
      </c>
      <c r="T26" s="290" t="str">
        <f>IF(ISBLANK(P26),"",IFERROR((VLOOKUP(N26,'Food List'!$C:$H,6,FALSE))*P26,""))</f>
        <v/>
      </c>
      <c r="U26" s="13"/>
      <c r="V26" s="277"/>
      <c r="W26" s="278"/>
      <c r="X26" s="287"/>
      <c r="Y26" s="287" t="str">
        <f>IF(ISBLANK(X26),"",IFERROR((VLOOKUP(X26,'Food List'!$C:$H,2,FALSE)),""))</f>
        <v/>
      </c>
      <c r="Z26" s="287"/>
      <c r="AA26" s="288" t="str">
        <f>IF(ISBLANK(Z26),"",IFERROR((VLOOKUP(X26,'Food List'!$C:$H,3,FALSE))*Z26,""))</f>
        <v/>
      </c>
      <c r="AB26" s="289" t="str">
        <f>IF(ISBLANK(Z26),"",IFERROR((VLOOKUP(X26,'Food List'!$C:$H,4,FALSE))*Z26,""))</f>
        <v/>
      </c>
      <c r="AC26" s="290" t="str">
        <f>IF(ISBLANK(Z26),"",IFERROR((VLOOKUP(X26,'Food List'!$C:$H,5,FALSE))*Z26,""))</f>
        <v/>
      </c>
      <c r="AD26" s="290" t="str">
        <f>IF(ISBLANK(Z26),"",IFERROR((VLOOKUP(X26,'Food List'!$C:$H,6,FALSE))*Z26,""))</f>
        <v/>
      </c>
      <c r="AE26" s="13"/>
      <c r="AF26" s="277"/>
      <c r="AG26" s="278"/>
      <c r="AH26" s="287"/>
      <c r="AI26" s="287" t="str">
        <f>IF(ISBLANK(AH26),"",IFERROR((VLOOKUP(AH26,'Food List'!$C:$H,2,FALSE)),""))</f>
        <v/>
      </c>
      <c r="AJ26" s="287"/>
      <c r="AK26" s="288" t="str">
        <f>IF(ISBLANK(AJ26),"",IFERROR((VLOOKUP(AH26,'Food List'!$C:$H,3,FALSE))*AJ26,""))</f>
        <v/>
      </c>
      <c r="AL26" s="289" t="str">
        <f>IF(ISBLANK(AJ26),"",IFERROR((VLOOKUP(AH26,'Food List'!$C:$H,4,FALSE))*AJ26,""))</f>
        <v/>
      </c>
      <c r="AM26" s="290" t="str">
        <f>IF(ISBLANK(AJ26),"",IFERROR((VLOOKUP(AH26,'Food List'!$C:$H,5,FALSE))*AJ26,""))</f>
        <v/>
      </c>
      <c r="AN26" s="290" t="str">
        <f>IF(ISBLANK(AJ26),"",IFERROR((VLOOKUP(AH26,'Food List'!$C:$H,6,FALSE))*AJ26,""))</f>
        <v/>
      </c>
      <c r="AO26" s="13"/>
      <c r="AP26" s="277"/>
      <c r="AQ26" s="278"/>
      <c r="AR26" s="287"/>
      <c r="AS26" s="287" t="str">
        <f>IF(ISBLANK(AR26),"",IFERROR((VLOOKUP(AR26,'Food List'!$C:$H,2,FALSE)),""))</f>
        <v/>
      </c>
      <c r="AT26" s="287"/>
      <c r="AU26" s="288" t="str">
        <f>IF(ISBLANK(AT26),"",IFERROR((VLOOKUP(AR26,'Food List'!$C:$H,3,FALSE))*AT26,""))</f>
        <v/>
      </c>
      <c r="AV26" s="289" t="str">
        <f>IF(ISBLANK(AT26),"",IFERROR((VLOOKUP(AR26,'Food List'!$C:$H,4,FALSE))*AT26,""))</f>
        <v/>
      </c>
      <c r="AW26" s="290" t="str">
        <f>IF(ISBLANK(AT26),"",IFERROR((VLOOKUP(AR26,'Food List'!$C:$H,5,FALSE))*AT26,""))</f>
        <v/>
      </c>
      <c r="AX26" s="290" t="str">
        <f>IF(ISBLANK(AT26),"",IFERROR((VLOOKUP(AR26,'Food List'!$C:$H,6,FALSE))*AT26,""))</f>
        <v/>
      </c>
      <c r="AY26" s="318"/>
      <c r="AZ26" s="277"/>
      <c r="BA26" s="278"/>
      <c r="BB26" s="287"/>
      <c r="BC26" s="287" t="str">
        <f>IF(ISBLANK(BB26),"",IFERROR((VLOOKUP(BB26,'Food List'!$C:$H,2,FALSE)),""))</f>
        <v/>
      </c>
      <c r="BD26" s="287"/>
      <c r="BE26" s="288" t="str">
        <f>IF(ISBLANK(BD26),"",IFERROR((VLOOKUP(BB26,'Food List'!$C:$H,3,FALSE))*BD26,""))</f>
        <v/>
      </c>
      <c r="BF26" s="289" t="str">
        <f>IF(ISBLANK(BD26),"",IFERROR((VLOOKUP(BB26,'Food List'!$C:$H,4,FALSE))*BD26,""))</f>
        <v/>
      </c>
      <c r="BG26" s="290" t="str">
        <f>IF(ISBLANK(BD26),"",IFERROR((VLOOKUP(BB26,'Food List'!$C:$H,5,FALSE))*BD26,""))</f>
        <v/>
      </c>
      <c r="BH26" s="290" t="str">
        <f>IF(ISBLANK(BD26),"",IFERROR((VLOOKUP(BB26,'Food List'!$C:$H,6,FALSE))*BD26,""))</f>
        <v/>
      </c>
      <c r="BI26" s="318"/>
      <c r="BJ26" s="277"/>
      <c r="BK26" s="278"/>
      <c r="BL26" s="287"/>
      <c r="BM26" s="287" t="str">
        <f>IF(ISBLANK(BL26),"",IFERROR((VLOOKUP(BL26,'Food List'!$C:$H,2,FALSE)),""))</f>
        <v/>
      </c>
      <c r="BN26" s="287"/>
      <c r="BO26" s="288" t="str">
        <f>IF(ISBLANK(BN26),"",IFERROR((VLOOKUP(BL26,'Food List'!$C:$H,3,FALSE))*BN26,""))</f>
        <v/>
      </c>
      <c r="BP26" s="289" t="str">
        <f>IF(ISBLANK(BN26),"",IFERROR((VLOOKUP(BL26,'Food List'!$C:$H,4,FALSE))*BN26,""))</f>
        <v/>
      </c>
      <c r="BQ26" s="290" t="str">
        <f>IF(ISBLANK(BN26),"",IFERROR((VLOOKUP(BL26,'Food List'!$C:$H,5,FALSE))*BN26,""))</f>
        <v/>
      </c>
      <c r="BR26" s="290" t="str">
        <f>IF(ISBLANK(BN26),"",IFERROR((VLOOKUP(BL26,'Food List'!$C:$H,6,FALSE))*BN26,""))</f>
        <v/>
      </c>
      <c r="BS26" s="261"/>
    </row>
    <row r="27" ht="18.75" customHeight="1">
      <c r="A27" s="266"/>
      <c r="B27" s="291"/>
      <c r="C27" s="292"/>
      <c r="D27" s="293" t="s">
        <v>594</v>
      </c>
      <c r="E27" s="294"/>
      <c r="F27" s="295"/>
      <c r="G27" s="296">
        <f t="shared" ref="G27:J27" si="15">IFERROR(SUM(G21:G26),0)</f>
        <v>593</v>
      </c>
      <c r="H27" s="296">
        <f t="shared" si="15"/>
        <v>48.5</v>
      </c>
      <c r="I27" s="296">
        <f t="shared" si="15"/>
        <v>54.05</v>
      </c>
      <c r="J27" s="296">
        <f t="shared" si="15"/>
        <v>20.35</v>
      </c>
      <c r="K27" s="13"/>
      <c r="L27" s="291"/>
      <c r="M27" s="292"/>
      <c r="N27" s="293" t="s">
        <v>594</v>
      </c>
      <c r="O27" s="294"/>
      <c r="P27" s="295"/>
      <c r="Q27" s="296">
        <f t="shared" ref="Q27:T27" si="16">IFERROR(SUM(Q21:Q26),0)</f>
        <v>460.5</v>
      </c>
      <c r="R27" s="296">
        <f t="shared" si="16"/>
        <v>50.25</v>
      </c>
      <c r="S27" s="296">
        <f t="shared" si="16"/>
        <v>43.9</v>
      </c>
      <c r="T27" s="296">
        <f t="shared" si="16"/>
        <v>9.35</v>
      </c>
      <c r="U27" s="13"/>
      <c r="V27" s="291"/>
      <c r="W27" s="292"/>
      <c r="X27" s="293" t="s">
        <v>594</v>
      </c>
      <c r="Y27" s="294"/>
      <c r="Z27" s="295"/>
      <c r="AA27" s="296">
        <f t="shared" ref="AA27:AD27" si="17">IFERROR(SUM(AA21:AA26),0)</f>
        <v>248</v>
      </c>
      <c r="AB27" s="296">
        <f t="shared" si="17"/>
        <v>50.7</v>
      </c>
      <c r="AC27" s="296">
        <f t="shared" si="17"/>
        <v>4.9</v>
      </c>
      <c r="AD27" s="296">
        <f t="shared" si="17"/>
        <v>2.8</v>
      </c>
      <c r="AE27" s="13"/>
      <c r="AF27" s="291"/>
      <c r="AG27" s="292"/>
      <c r="AH27" s="293" t="s">
        <v>594</v>
      </c>
      <c r="AI27" s="294"/>
      <c r="AJ27" s="295"/>
      <c r="AK27" s="296">
        <f t="shared" ref="AK27:AN27" si="18">IFERROR(SUM(AK21:AK26),0)</f>
        <v>0</v>
      </c>
      <c r="AL27" s="296">
        <f t="shared" si="18"/>
        <v>0</v>
      </c>
      <c r="AM27" s="296">
        <f t="shared" si="18"/>
        <v>0</v>
      </c>
      <c r="AN27" s="296">
        <f t="shared" si="18"/>
        <v>0</v>
      </c>
      <c r="AO27" s="13"/>
      <c r="AP27" s="291"/>
      <c r="AQ27" s="292"/>
      <c r="AR27" s="293" t="s">
        <v>594</v>
      </c>
      <c r="AS27" s="294"/>
      <c r="AT27" s="295"/>
      <c r="AU27" s="296">
        <f t="shared" ref="AU27:AX27" si="19">IFERROR(SUM(AU21:AU26),0)</f>
        <v>0</v>
      </c>
      <c r="AV27" s="296">
        <f t="shared" si="19"/>
        <v>0</v>
      </c>
      <c r="AW27" s="296">
        <f t="shared" si="19"/>
        <v>0</v>
      </c>
      <c r="AX27" s="296">
        <f t="shared" si="19"/>
        <v>0</v>
      </c>
      <c r="AY27" s="319"/>
      <c r="AZ27" s="291"/>
      <c r="BA27" s="292"/>
      <c r="BB27" s="293" t="s">
        <v>594</v>
      </c>
      <c r="BC27" s="294"/>
      <c r="BD27" s="295"/>
      <c r="BE27" s="296">
        <f t="shared" ref="BE27:BH27" si="20">IFERROR(SUM(BE21:BE26),0)</f>
        <v>0</v>
      </c>
      <c r="BF27" s="296">
        <f t="shared" si="20"/>
        <v>0</v>
      </c>
      <c r="BG27" s="296">
        <f t="shared" si="20"/>
        <v>0</v>
      </c>
      <c r="BH27" s="296">
        <f t="shared" si="20"/>
        <v>0</v>
      </c>
      <c r="BI27" s="319"/>
      <c r="BJ27" s="291"/>
      <c r="BK27" s="292"/>
      <c r="BL27" s="293" t="s">
        <v>594</v>
      </c>
      <c r="BM27" s="294"/>
      <c r="BN27" s="295"/>
      <c r="BO27" s="296">
        <f t="shared" ref="BO27:BR27" si="21">IFERROR(SUM(BO21:BO26),0)</f>
        <v>0</v>
      </c>
      <c r="BP27" s="296">
        <f t="shared" si="21"/>
        <v>0</v>
      </c>
      <c r="BQ27" s="296">
        <f t="shared" si="21"/>
        <v>0</v>
      </c>
      <c r="BR27" s="296">
        <f t="shared" si="21"/>
        <v>0</v>
      </c>
      <c r="BS27" s="257"/>
    </row>
    <row r="28" ht="7.5" customHeight="1">
      <c r="A28" s="247"/>
      <c r="B28" s="266"/>
      <c r="C28" s="301"/>
      <c r="D28" s="301"/>
      <c r="E28" s="301"/>
      <c r="F28" s="301"/>
      <c r="G28" s="301"/>
      <c r="H28" s="301"/>
      <c r="I28" s="301"/>
      <c r="J28" s="302"/>
      <c r="K28" s="13"/>
      <c r="L28" s="266"/>
      <c r="M28" s="301"/>
      <c r="N28" s="301"/>
      <c r="O28" s="301"/>
      <c r="P28" s="301"/>
      <c r="Q28" s="301"/>
      <c r="R28" s="301"/>
      <c r="S28" s="301"/>
      <c r="T28" s="302"/>
      <c r="U28" s="13"/>
      <c r="V28" s="266"/>
      <c r="W28" s="301"/>
      <c r="X28" s="301"/>
      <c r="Y28" s="301"/>
      <c r="Z28" s="301"/>
      <c r="AA28" s="301"/>
      <c r="AB28" s="301"/>
      <c r="AC28" s="301"/>
      <c r="AD28" s="302"/>
      <c r="AE28" s="13"/>
      <c r="AF28" s="266"/>
      <c r="AG28" s="301"/>
      <c r="AH28" s="301"/>
      <c r="AI28" s="301"/>
      <c r="AJ28" s="301"/>
      <c r="AK28" s="301"/>
      <c r="AL28" s="301"/>
      <c r="AM28" s="301"/>
      <c r="AN28" s="302"/>
      <c r="AO28" s="13"/>
      <c r="AP28" s="266"/>
      <c r="AQ28" s="301"/>
      <c r="AR28" s="301"/>
      <c r="AS28" s="301"/>
      <c r="AT28" s="301"/>
      <c r="AU28" s="301"/>
      <c r="AV28" s="301"/>
      <c r="AW28" s="301"/>
      <c r="AX28" s="302"/>
      <c r="AY28" s="318"/>
      <c r="AZ28" s="266"/>
      <c r="BA28" s="301"/>
      <c r="BB28" s="301"/>
      <c r="BC28" s="301"/>
      <c r="BD28" s="301"/>
      <c r="BE28" s="301"/>
      <c r="BF28" s="301"/>
      <c r="BG28" s="301"/>
      <c r="BH28" s="302"/>
      <c r="BI28" s="318"/>
      <c r="BJ28" s="266"/>
      <c r="BK28" s="301"/>
      <c r="BL28" s="301"/>
      <c r="BM28" s="301"/>
      <c r="BN28" s="301"/>
      <c r="BO28" s="301"/>
      <c r="BP28" s="301"/>
      <c r="BQ28" s="301"/>
      <c r="BR28" s="302"/>
      <c r="BS28" s="261"/>
    </row>
    <row r="29">
      <c r="A29" s="266"/>
      <c r="B29" s="269" t="s">
        <v>600</v>
      </c>
      <c r="C29" s="270"/>
      <c r="D29" s="271" t="s">
        <v>630</v>
      </c>
      <c r="E29" s="271" t="str">
        <f>IF(ISBLANK(D29),"",IFERROR((VLOOKUP(D29,'Food List'!$C:$H,2,FALSE)),""))</f>
        <v>100g</v>
      </c>
      <c r="F29" s="271">
        <v>2.0</v>
      </c>
      <c r="G29" s="272">
        <f>IF(ISBLANK(F29),"",IFERROR((VLOOKUP(D29,'Food List'!$C:$H,3,FALSE))*F29,""))</f>
        <v>280</v>
      </c>
      <c r="H29" s="273">
        <f>IF(ISBLANK(F29),"",IFERROR((VLOOKUP(D29,'Food List'!$C:$H,4,FALSE))*F29,""))</f>
        <v>42.4</v>
      </c>
      <c r="I29" s="274">
        <f>IF(ISBLANK(F29),"",IFERROR((VLOOKUP(D29,'Food List'!$C:$H,5,FALSE))*F29,""))</f>
        <v>0</v>
      </c>
      <c r="J29" s="274">
        <f>IF(ISBLANK(F29),"",IFERROR((VLOOKUP(D29,'Food List'!$C:$H,6,FALSE))*F29,""))</f>
        <v>12.2</v>
      </c>
      <c r="K29" s="13"/>
      <c r="L29" s="269" t="s">
        <v>600</v>
      </c>
      <c r="M29" s="270"/>
      <c r="N29" s="271" t="s">
        <v>604</v>
      </c>
      <c r="O29" s="271" t="str">
        <f>IF(ISBLANK(N29),"",IFERROR((VLOOKUP(N29,'Food List'!$C:$H,2,FALSE)),""))</f>
        <v>1 Bar</v>
      </c>
      <c r="P29" s="271">
        <v>1.0</v>
      </c>
      <c r="Q29" s="272">
        <f>IF(ISBLANK(P29),"",IFERROR((VLOOKUP(N29,'Food List'!$C:$H,3,FALSE))*P29,""))</f>
        <v>200</v>
      </c>
      <c r="R29" s="273">
        <f>IF(ISBLANK(P29),"",IFERROR((VLOOKUP(N29,'Food List'!$C:$H,4,FALSE))*P29,""))</f>
        <v>20</v>
      </c>
      <c r="S29" s="274">
        <f>IF(ISBLANK(P29),"",IFERROR((VLOOKUP(N29,'Food List'!$C:$H,5,FALSE))*P29,""))</f>
        <v>20</v>
      </c>
      <c r="T29" s="274">
        <f>IF(ISBLANK(P29),"",IFERROR((VLOOKUP(N29,'Food List'!$C:$H,6,FALSE))*P29,""))</f>
        <v>5</v>
      </c>
      <c r="U29" s="13"/>
      <c r="V29" s="269" t="s">
        <v>600</v>
      </c>
      <c r="W29" s="270"/>
      <c r="X29" s="271" t="s">
        <v>624</v>
      </c>
      <c r="Y29" s="271" t="str">
        <f>IF(ISBLANK(X29),"",IFERROR((VLOOKUP(X29,'Food List'!$C:$H,2,FALSE)),""))</f>
        <v>100g</v>
      </c>
      <c r="Z29" s="271">
        <v>3.0</v>
      </c>
      <c r="AA29" s="272">
        <f>IF(ISBLANK(Z29),"",IFERROR((VLOOKUP(X29,'Food List'!$C:$H,3,FALSE))*Z29,""))</f>
        <v>174</v>
      </c>
      <c r="AB29" s="273">
        <f>IF(ISBLANK(Z29),"",IFERROR((VLOOKUP(X29,'Food List'!$C:$H,4,FALSE))*Z29,""))</f>
        <v>31.8</v>
      </c>
      <c r="AC29" s="274">
        <f>IF(ISBLANK(Z29),"",IFERROR((VLOOKUP(X29,'Food List'!$C:$H,5,FALSE))*Z29,""))</f>
        <v>11.7</v>
      </c>
      <c r="AD29" s="274">
        <f>IF(ISBLANK(Z29),"",IFERROR((VLOOKUP(X29,'Food List'!$C:$H,6,FALSE))*Z29,""))</f>
        <v>0</v>
      </c>
      <c r="AE29" s="13"/>
      <c r="AF29" s="269" t="s">
        <v>600</v>
      </c>
      <c r="AG29" s="270"/>
      <c r="AH29" s="271"/>
      <c r="AI29" s="271" t="str">
        <f>IF(ISBLANK(AH29),"",IFERROR((VLOOKUP(AH29,'Food List'!$C:$H,2,FALSE)),""))</f>
        <v/>
      </c>
      <c r="AJ29" s="271"/>
      <c r="AK29" s="272" t="str">
        <f>IF(ISBLANK(AJ29),"",IFERROR((VLOOKUP(AH29,'Food List'!$C:$H,3,FALSE))*AJ29,""))</f>
        <v/>
      </c>
      <c r="AL29" s="273" t="str">
        <f>IF(ISBLANK(AJ29),"",IFERROR((VLOOKUP(AH29,'Food List'!$C:$H,4,FALSE))*AJ29,""))</f>
        <v/>
      </c>
      <c r="AM29" s="274" t="str">
        <f>IF(ISBLANK(AJ29),"",IFERROR((VLOOKUP(AH29,'Food List'!$C:$H,5,FALSE))*AJ29,""))</f>
        <v/>
      </c>
      <c r="AN29" s="274" t="str">
        <f>IF(ISBLANK(AJ29),"",IFERROR((VLOOKUP(AH29,'Food List'!$C:$H,6,FALSE))*AJ29,""))</f>
        <v/>
      </c>
      <c r="AO29" s="13"/>
      <c r="AP29" s="269" t="s">
        <v>600</v>
      </c>
      <c r="AQ29" s="270"/>
      <c r="AR29" s="271"/>
      <c r="AS29" s="271" t="str">
        <f>IF(ISBLANK(AR29),"",IFERROR((VLOOKUP(AR29,'Food List'!$C:$H,2,FALSE)),""))</f>
        <v/>
      </c>
      <c r="AT29" s="271"/>
      <c r="AU29" s="272" t="str">
        <f>IF(ISBLANK(AT29),"",IFERROR((VLOOKUP(AR29,'Food List'!$C:$H,3,FALSE))*AT29,""))</f>
        <v/>
      </c>
      <c r="AV29" s="273" t="str">
        <f>IF(ISBLANK(AT29),"",IFERROR((VLOOKUP(AR29,'Food List'!$C:$H,4,FALSE))*AT29,""))</f>
        <v/>
      </c>
      <c r="AW29" s="274" t="str">
        <f>IF(ISBLANK(AT29),"",IFERROR((VLOOKUP(AR29,'Food List'!$C:$H,5,FALSE))*AT29,""))</f>
        <v/>
      </c>
      <c r="AX29" s="274" t="str">
        <f>IF(ISBLANK(AT29),"",IFERROR((VLOOKUP(AR29,'Food List'!$C:$H,6,FALSE))*AT29,""))</f>
        <v/>
      </c>
      <c r="AY29" s="319"/>
      <c r="AZ29" s="269" t="s">
        <v>600</v>
      </c>
      <c r="BA29" s="270"/>
      <c r="BB29" s="271"/>
      <c r="BC29" s="271" t="str">
        <f>IF(ISBLANK(BB29),"",IFERROR((VLOOKUP(BB29,'Food List'!$C:$H,2,FALSE)),""))</f>
        <v/>
      </c>
      <c r="BD29" s="271"/>
      <c r="BE29" s="272" t="str">
        <f>IF(ISBLANK(BD29),"",IFERROR((VLOOKUP(BB29,'Food List'!$C:$H,3,FALSE))*BD29,""))</f>
        <v/>
      </c>
      <c r="BF29" s="273" t="str">
        <f>IF(ISBLANK(BD29),"",IFERROR((VLOOKUP(BB29,'Food List'!$C:$H,4,FALSE))*BD29,""))</f>
        <v/>
      </c>
      <c r="BG29" s="274" t="str">
        <f>IF(ISBLANK(BD29),"",IFERROR((VLOOKUP(BB29,'Food List'!$C:$H,5,FALSE))*BD29,""))</f>
        <v/>
      </c>
      <c r="BH29" s="274" t="str">
        <f>IF(ISBLANK(BD29),"",IFERROR((VLOOKUP(BB29,'Food List'!$C:$H,6,FALSE))*BD29,""))</f>
        <v/>
      </c>
      <c r="BI29" s="319"/>
      <c r="BJ29" s="269" t="s">
        <v>600</v>
      </c>
      <c r="BK29" s="270"/>
      <c r="BL29" s="271"/>
      <c r="BM29" s="271" t="str">
        <f>IF(ISBLANK(BL29),"",IFERROR((VLOOKUP(BL29,'Food List'!$C:$H,2,FALSE)),""))</f>
        <v/>
      </c>
      <c r="BN29" s="271"/>
      <c r="BO29" s="272" t="str">
        <f>IF(ISBLANK(BN29),"",IFERROR((VLOOKUP(BL29,'Food List'!$C:$H,3,FALSE))*BN29,""))</f>
        <v/>
      </c>
      <c r="BP29" s="273" t="str">
        <f>IF(ISBLANK(BN29),"",IFERROR((VLOOKUP(BL29,'Food List'!$C:$H,4,FALSE))*BN29,""))</f>
        <v/>
      </c>
      <c r="BQ29" s="274" t="str">
        <f>IF(ISBLANK(BN29),"",IFERROR((VLOOKUP(BL29,'Food List'!$C:$H,5,FALSE))*BN29,""))</f>
        <v/>
      </c>
      <c r="BR29" s="274" t="str">
        <f>IF(ISBLANK(BN29),"",IFERROR((VLOOKUP(BL29,'Food List'!$C:$H,6,FALSE))*BN29,""))</f>
        <v/>
      </c>
      <c r="BS29" s="257"/>
    </row>
    <row r="30">
      <c r="A30" s="266"/>
      <c r="B30" s="277"/>
      <c r="C30" s="278"/>
      <c r="D30" s="279" t="s">
        <v>599</v>
      </c>
      <c r="E30" s="279" t="str">
        <f>IF(ISBLANK(D30),"",IFERROR((VLOOKUP(D30,'Food List'!$C:$H,2,FALSE)),""))</f>
        <v>100g</v>
      </c>
      <c r="F30" s="279">
        <v>3.0</v>
      </c>
      <c r="G30" s="280">
        <f>IF(ISBLANK(F30),"",IFERROR((VLOOKUP(D30,'Food List'!$C:$H,3,FALSE))*F30,""))</f>
        <v>240</v>
      </c>
      <c r="H30" s="281">
        <f>IF(ISBLANK(F30),"",IFERROR((VLOOKUP(D30,'Food List'!$C:$H,4,FALSE))*F30,""))</f>
        <v>5.7</v>
      </c>
      <c r="I30" s="282">
        <f>IF(ISBLANK(F30),"",IFERROR((VLOOKUP(D30,'Food List'!$C:$H,5,FALSE))*F30,""))</f>
        <v>53.7</v>
      </c>
      <c r="J30" s="282">
        <f>IF(ISBLANK(F30),"",IFERROR((VLOOKUP(D30,'Food List'!$C:$H,6,FALSE))*F30,""))</f>
        <v>0.3</v>
      </c>
      <c r="K30" s="13"/>
      <c r="L30" s="277"/>
      <c r="M30" s="278"/>
      <c r="N30" s="279"/>
      <c r="O30" s="279" t="str">
        <f>IF(ISBLANK(N30),"",IFERROR((VLOOKUP(N30,'Food List'!$C:$H,2,FALSE)),""))</f>
        <v/>
      </c>
      <c r="P30" s="279"/>
      <c r="Q30" s="280" t="str">
        <f>IF(ISBLANK(P30),"",IFERROR((VLOOKUP(N30,'Food List'!$C:$H,3,FALSE))*P30,""))</f>
        <v/>
      </c>
      <c r="R30" s="281" t="str">
        <f>IF(ISBLANK(P30),"",IFERROR((VLOOKUP(N30,'Food List'!$C:$H,4,FALSE))*P30,""))</f>
        <v/>
      </c>
      <c r="S30" s="282" t="str">
        <f>IF(ISBLANK(P30),"",IFERROR((VLOOKUP(N30,'Food List'!$C:$H,5,FALSE))*P30,""))</f>
        <v/>
      </c>
      <c r="T30" s="282" t="str">
        <f>IF(ISBLANK(P30),"",IFERROR((VLOOKUP(N30,'Food List'!$C:$H,6,FALSE))*P30,""))</f>
        <v/>
      </c>
      <c r="U30" s="13"/>
      <c r="V30" s="277"/>
      <c r="W30" s="278"/>
      <c r="X30" s="279" t="s">
        <v>591</v>
      </c>
      <c r="Y30" s="279" t="str">
        <f>IF(ISBLANK(X30),"",IFERROR((VLOOKUP(X30,'Food List'!$C:$H,2,FALSE)),""))</f>
        <v>100g</v>
      </c>
      <c r="Z30" s="279">
        <v>0.3</v>
      </c>
      <c r="AA30" s="280">
        <f>IF(ISBLANK(Z30),"",IFERROR((VLOOKUP(X30,'Food List'!$C:$H,3,FALSE))*Z30,""))</f>
        <v>92.1</v>
      </c>
      <c r="AB30" s="281">
        <f>IF(ISBLANK(Z30),"",IFERROR((VLOOKUP(X30,'Food List'!$C:$H,4,FALSE))*Z30,""))</f>
        <v>0.12</v>
      </c>
      <c r="AC30" s="282">
        <f>IF(ISBLANK(Z30),"",IFERROR((VLOOKUP(X30,'Food List'!$C:$H,5,FALSE))*Z30,""))</f>
        <v>22.8</v>
      </c>
      <c r="AD30" s="282">
        <f>IF(ISBLANK(Z30),"",IFERROR((VLOOKUP(X30,'Food List'!$C:$H,6,FALSE))*Z30,""))</f>
        <v>0</v>
      </c>
      <c r="AE30" s="13"/>
      <c r="AF30" s="277"/>
      <c r="AG30" s="278"/>
      <c r="AH30" s="279"/>
      <c r="AI30" s="279" t="str">
        <f>IF(ISBLANK(AH30),"",IFERROR((VLOOKUP(AH30,'Food List'!$C:$H,2,FALSE)),""))</f>
        <v/>
      </c>
      <c r="AJ30" s="279"/>
      <c r="AK30" s="280" t="str">
        <f>IF(ISBLANK(AJ30),"",IFERROR((VLOOKUP(AH30,'Food List'!$C:$H,3,FALSE))*AJ30,""))</f>
        <v/>
      </c>
      <c r="AL30" s="281" t="str">
        <f>IF(ISBLANK(AJ30),"",IFERROR((VLOOKUP(AH30,'Food List'!$C:$H,4,FALSE))*AJ30,""))</f>
        <v/>
      </c>
      <c r="AM30" s="282" t="str">
        <f>IF(ISBLANK(AJ30),"",IFERROR((VLOOKUP(AH30,'Food List'!$C:$H,5,FALSE))*AJ30,""))</f>
        <v/>
      </c>
      <c r="AN30" s="282" t="str">
        <f>IF(ISBLANK(AJ30),"",IFERROR((VLOOKUP(AH30,'Food List'!$C:$H,6,FALSE))*AJ30,""))</f>
        <v/>
      </c>
      <c r="AO30" s="13"/>
      <c r="AP30" s="277"/>
      <c r="AQ30" s="278"/>
      <c r="AR30" s="279"/>
      <c r="AS30" s="279" t="str">
        <f>IF(ISBLANK(AR30),"",IFERROR((VLOOKUP(AR30,'Food List'!$C:$H,2,FALSE)),""))</f>
        <v/>
      </c>
      <c r="AT30" s="279"/>
      <c r="AU30" s="280" t="str">
        <f>IF(ISBLANK(AT30),"",IFERROR((VLOOKUP(AR30,'Food List'!$C:$H,3,FALSE))*AT30,""))</f>
        <v/>
      </c>
      <c r="AV30" s="281" t="str">
        <f>IF(ISBLANK(AT30),"",IFERROR((VLOOKUP(AR30,'Food List'!$C:$H,4,FALSE))*AT30,""))</f>
        <v/>
      </c>
      <c r="AW30" s="282" t="str">
        <f>IF(ISBLANK(AT30),"",IFERROR((VLOOKUP(AR30,'Food List'!$C:$H,5,FALSE))*AT30,""))</f>
        <v/>
      </c>
      <c r="AX30" s="282" t="str">
        <f>IF(ISBLANK(AT30),"",IFERROR((VLOOKUP(AR30,'Food List'!$C:$H,6,FALSE))*AT30,""))</f>
        <v/>
      </c>
      <c r="AY30" s="318"/>
      <c r="AZ30" s="277"/>
      <c r="BA30" s="278"/>
      <c r="BB30" s="279"/>
      <c r="BC30" s="279" t="str">
        <f>IF(ISBLANK(BB30),"",IFERROR((VLOOKUP(BB30,'Food List'!$C:$H,2,FALSE)),""))</f>
        <v/>
      </c>
      <c r="BD30" s="279"/>
      <c r="BE30" s="280" t="str">
        <f>IF(ISBLANK(BD30),"",IFERROR((VLOOKUP(BB30,'Food List'!$C:$H,3,FALSE))*BD30,""))</f>
        <v/>
      </c>
      <c r="BF30" s="281" t="str">
        <f>IF(ISBLANK(BD30),"",IFERROR((VLOOKUP(BB30,'Food List'!$C:$H,4,FALSE))*BD30,""))</f>
        <v/>
      </c>
      <c r="BG30" s="282" t="str">
        <f>IF(ISBLANK(BD30),"",IFERROR((VLOOKUP(BB30,'Food List'!$C:$H,5,FALSE))*BD30,""))</f>
        <v/>
      </c>
      <c r="BH30" s="282" t="str">
        <f>IF(ISBLANK(BD30),"",IFERROR((VLOOKUP(BB30,'Food List'!$C:$H,6,FALSE))*BD30,""))</f>
        <v/>
      </c>
      <c r="BI30" s="318"/>
      <c r="BJ30" s="277"/>
      <c r="BK30" s="278"/>
      <c r="BL30" s="279"/>
      <c r="BM30" s="279" t="str">
        <f>IF(ISBLANK(BL30),"",IFERROR((VLOOKUP(BL30,'Food List'!$C:$H,2,FALSE)),""))</f>
        <v/>
      </c>
      <c r="BN30" s="279"/>
      <c r="BO30" s="280" t="str">
        <f>IF(ISBLANK(BN30),"",IFERROR((VLOOKUP(BL30,'Food List'!$C:$H,3,FALSE))*BN30,""))</f>
        <v/>
      </c>
      <c r="BP30" s="281" t="str">
        <f>IF(ISBLANK(BN30),"",IFERROR((VLOOKUP(BL30,'Food List'!$C:$H,4,FALSE))*BN30,""))</f>
        <v/>
      </c>
      <c r="BQ30" s="282" t="str">
        <f>IF(ISBLANK(BN30),"",IFERROR((VLOOKUP(BL30,'Food List'!$C:$H,5,FALSE))*BN30,""))</f>
        <v/>
      </c>
      <c r="BR30" s="282" t="str">
        <f>IF(ISBLANK(BN30),"",IFERROR((VLOOKUP(BL30,'Food List'!$C:$H,6,FALSE))*BN30,""))</f>
        <v/>
      </c>
      <c r="BS30" s="261"/>
    </row>
    <row r="31">
      <c r="A31" s="266"/>
      <c r="B31" s="285"/>
      <c r="C31" s="286"/>
      <c r="D31" s="279" t="s">
        <v>597</v>
      </c>
      <c r="E31" s="279" t="str">
        <f>IF(ISBLANK(D31),"",IFERROR((VLOOKUP(D31,'Food List'!$C:$H,2,FALSE)),""))</f>
        <v>100g</v>
      </c>
      <c r="F31" s="279">
        <v>1.0</v>
      </c>
      <c r="G31" s="280">
        <f>IF(ISBLANK(F31),"",IFERROR((VLOOKUP(D31,'Food List'!$C:$H,3,FALSE))*F31,""))</f>
        <v>36</v>
      </c>
      <c r="H31" s="281">
        <f>IF(ISBLANK(F31),"",IFERROR((VLOOKUP(D31,'Food List'!$C:$H,4,FALSE))*F31,""))</f>
        <v>2.7</v>
      </c>
      <c r="I31" s="282">
        <f>IF(ISBLANK(F31),"",IFERROR((VLOOKUP(D31,'Food List'!$C:$H,5,FALSE))*F31,""))</f>
        <v>4.9</v>
      </c>
      <c r="J31" s="282">
        <f>IF(ISBLANK(F31),"",IFERROR((VLOOKUP(D31,'Food List'!$C:$H,6,FALSE))*F31,""))</f>
        <v>0.6</v>
      </c>
      <c r="K31" s="13"/>
      <c r="L31" s="285"/>
      <c r="M31" s="286"/>
      <c r="N31" s="279"/>
      <c r="O31" s="279" t="str">
        <f>IF(ISBLANK(N31),"",IFERROR((VLOOKUP(N31,'Food List'!$C:$H,2,FALSE)),""))</f>
        <v/>
      </c>
      <c r="P31" s="279"/>
      <c r="Q31" s="280" t="str">
        <f>IF(ISBLANK(P31),"",IFERROR((VLOOKUP(N31,'Food List'!$C:$H,3,FALSE))*P31,""))</f>
        <v/>
      </c>
      <c r="R31" s="281" t="str">
        <f>IF(ISBLANK(P31),"",IFERROR((VLOOKUP(N31,'Food List'!$C:$H,4,FALSE))*P31,""))</f>
        <v/>
      </c>
      <c r="S31" s="282" t="str">
        <f>IF(ISBLANK(P31),"",IFERROR((VLOOKUP(N31,'Food List'!$C:$H,5,FALSE))*P31,""))</f>
        <v/>
      </c>
      <c r="T31" s="282" t="str">
        <f>IF(ISBLANK(P31),"",IFERROR((VLOOKUP(N31,'Food List'!$C:$H,6,FALSE))*P31,""))</f>
        <v/>
      </c>
      <c r="U31" s="13"/>
      <c r="V31" s="285"/>
      <c r="W31" s="286"/>
      <c r="X31" s="279" t="s">
        <v>625</v>
      </c>
      <c r="Y31" s="279" t="str">
        <f>IF(ISBLANK(X31),"",IFERROR((VLOOKUP(X31,'Food List'!$C:$H,2,FALSE)),""))</f>
        <v>100g</v>
      </c>
      <c r="Z31" s="279">
        <v>2.0</v>
      </c>
      <c r="AA31" s="280">
        <f>IF(ISBLANK(Z31),"",IFERROR((VLOOKUP(X31,'Food List'!$C:$H,3,FALSE))*Z31,""))</f>
        <v>54</v>
      </c>
      <c r="AB31" s="281">
        <f>IF(ISBLANK(Z31),"",IFERROR((VLOOKUP(X31,'Food List'!$C:$H,4,FALSE))*Z31,""))</f>
        <v>2.8</v>
      </c>
      <c r="AC31" s="282">
        <f>IF(ISBLANK(Z31),"",IFERROR((VLOOKUP(X31,'Food List'!$C:$H,5,FALSE))*Z31,""))</f>
        <v>9.2</v>
      </c>
      <c r="AD31" s="282">
        <f>IF(ISBLANK(Z31),"",IFERROR((VLOOKUP(X31,'Food List'!$C:$H,6,FALSE))*Z31,""))</f>
        <v>0.6</v>
      </c>
      <c r="AE31" s="13"/>
      <c r="AF31" s="285"/>
      <c r="AG31" s="286"/>
      <c r="AH31" s="279"/>
      <c r="AI31" s="279" t="str">
        <f>IF(ISBLANK(AH31),"",IFERROR((VLOOKUP(AH31,'Food List'!$C:$H,2,FALSE)),""))</f>
        <v/>
      </c>
      <c r="AJ31" s="279"/>
      <c r="AK31" s="280" t="str">
        <f>IF(ISBLANK(AJ31),"",IFERROR((VLOOKUP(AH31,'Food List'!$C:$H,3,FALSE))*AJ31,""))</f>
        <v/>
      </c>
      <c r="AL31" s="281" t="str">
        <f>IF(ISBLANK(AJ31),"",IFERROR((VLOOKUP(AH31,'Food List'!$C:$H,4,FALSE))*AJ31,""))</f>
        <v/>
      </c>
      <c r="AM31" s="282" t="str">
        <f>IF(ISBLANK(AJ31),"",IFERROR((VLOOKUP(AH31,'Food List'!$C:$H,5,FALSE))*AJ31,""))</f>
        <v/>
      </c>
      <c r="AN31" s="282" t="str">
        <f>IF(ISBLANK(AJ31),"",IFERROR((VLOOKUP(AH31,'Food List'!$C:$H,6,FALSE))*AJ31,""))</f>
        <v/>
      </c>
      <c r="AO31" s="13"/>
      <c r="AP31" s="285"/>
      <c r="AQ31" s="286"/>
      <c r="AR31" s="279"/>
      <c r="AS31" s="279" t="str">
        <f>IF(ISBLANK(AR31),"",IFERROR((VLOOKUP(AR31,'Food List'!$C:$H,2,FALSE)),""))</f>
        <v/>
      </c>
      <c r="AT31" s="279"/>
      <c r="AU31" s="280" t="str">
        <f>IF(ISBLANK(AT31),"",IFERROR((VLOOKUP(AR31,'Food List'!$C:$H,3,FALSE))*AT31,""))</f>
        <v/>
      </c>
      <c r="AV31" s="281" t="str">
        <f>IF(ISBLANK(AT31),"",IFERROR((VLOOKUP(AR31,'Food List'!$C:$H,4,FALSE))*AT31,""))</f>
        <v/>
      </c>
      <c r="AW31" s="282" t="str">
        <f>IF(ISBLANK(AT31),"",IFERROR((VLOOKUP(AR31,'Food List'!$C:$H,5,FALSE))*AT31,""))</f>
        <v/>
      </c>
      <c r="AX31" s="282" t="str">
        <f>IF(ISBLANK(AT31),"",IFERROR((VLOOKUP(AR31,'Food List'!$C:$H,6,FALSE))*AT31,""))</f>
        <v/>
      </c>
      <c r="AY31" s="319"/>
      <c r="AZ31" s="285"/>
      <c r="BA31" s="286"/>
      <c r="BB31" s="279"/>
      <c r="BC31" s="279" t="str">
        <f>IF(ISBLANK(BB31),"",IFERROR((VLOOKUP(BB31,'Food List'!$C:$H,2,FALSE)),""))</f>
        <v/>
      </c>
      <c r="BD31" s="279"/>
      <c r="BE31" s="280" t="str">
        <f>IF(ISBLANK(BD31),"",IFERROR((VLOOKUP(BB31,'Food List'!$C:$H,3,FALSE))*BD31,""))</f>
        <v/>
      </c>
      <c r="BF31" s="281" t="str">
        <f>IF(ISBLANK(BD31),"",IFERROR((VLOOKUP(BB31,'Food List'!$C:$H,4,FALSE))*BD31,""))</f>
        <v/>
      </c>
      <c r="BG31" s="282" t="str">
        <f>IF(ISBLANK(BD31),"",IFERROR((VLOOKUP(BB31,'Food List'!$C:$H,5,FALSE))*BD31,""))</f>
        <v/>
      </c>
      <c r="BH31" s="282" t="str">
        <f>IF(ISBLANK(BD31),"",IFERROR((VLOOKUP(BB31,'Food List'!$C:$H,6,FALSE))*BD31,""))</f>
        <v/>
      </c>
      <c r="BI31" s="319"/>
      <c r="BJ31" s="285"/>
      <c r="BK31" s="286"/>
      <c r="BL31" s="279"/>
      <c r="BM31" s="279" t="str">
        <f>IF(ISBLANK(BL31),"",IFERROR((VLOOKUP(BL31,'Food List'!$C:$H,2,FALSE)),""))</f>
        <v/>
      </c>
      <c r="BN31" s="279"/>
      <c r="BO31" s="280" t="str">
        <f>IF(ISBLANK(BN31),"",IFERROR((VLOOKUP(BL31,'Food List'!$C:$H,3,FALSE))*BN31,""))</f>
        <v/>
      </c>
      <c r="BP31" s="281" t="str">
        <f>IF(ISBLANK(BN31),"",IFERROR((VLOOKUP(BL31,'Food List'!$C:$H,4,FALSE))*BN31,""))</f>
        <v/>
      </c>
      <c r="BQ31" s="282" t="str">
        <f>IF(ISBLANK(BN31),"",IFERROR((VLOOKUP(BL31,'Food List'!$C:$H,5,FALSE))*BN31,""))</f>
        <v/>
      </c>
      <c r="BR31" s="282" t="str">
        <f>IF(ISBLANK(BN31),"",IFERROR((VLOOKUP(BL31,'Food List'!$C:$H,6,FALSE))*BN31,""))</f>
        <v/>
      </c>
      <c r="BS31" s="257"/>
    </row>
    <row r="32">
      <c r="A32" s="266"/>
      <c r="B32" s="277"/>
      <c r="C32" s="278"/>
      <c r="D32" s="279"/>
      <c r="E32" s="279" t="str">
        <f>IF(ISBLANK(D32),"",IFERROR((VLOOKUP(D32,'Food List'!$C:$H,2,FALSE)),""))</f>
        <v/>
      </c>
      <c r="F32" s="279"/>
      <c r="G32" s="280" t="str">
        <f>IF(ISBLANK(F32),"",IFERROR((VLOOKUP(D32,'Food List'!$C:$H,3,FALSE))*F32,""))</f>
        <v/>
      </c>
      <c r="H32" s="281" t="str">
        <f>IF(ISBLANK(F32),"",IFERROR((VLOOKUP(D32,'Food List'!$C:$H,4,FALSE))*F32,""))</f>
        <v/>
      </c>
      <c r="I32" s="282" t="str">
        <f>IF(ISBLANK(F32),"",IFERROR((VLOOKUP(D32,'Food List'!$C:$H,5,FALSE))*F32,""))</f>
        <v/>
      </c>
      <c r="J32" s="282" t="str">
        <f>IF(ISBLANK(F32),"",IFERROR((VLOOKUP(D32,'Food List'!$C:$H,6,FALSE))*F32,""))</f>
        <v/>
      </c>
      <c r="K32" s="13"/>
      <c r="L32" s="277"/>
      <c r="M32" s="278"/>
      <c r="N32" s="279"/>
      <c r="O32" s="279" t="str">
        <f>IF(ISBLANK(N32),"",IFERROR((VLOOKUP(N32,'Food List'!$C:$H,2,FALSE)),""))</f>
        <v/>
      </c>
      <c r="P32" s="279"/>
      <c r="Q32" s="280" t="str">
        <f>IF(ISBLANK(P32),"",IFERROR((VLOOKUP(N32,'Food List'!$C:$H,3,FALSE))*P32,""))</f>
        <v/>
      </c>
      <c r="R32" s="281" t="str">
        <f>IF(ISBLANK(P32),"",IFERROR((VLOOKUP(N32,'Food List'!$C:$H,4,FALSE))*P32,""))</f>
        <v/>
      </c>
      <c r="S32" s="282" t="str">
        <f>IF(ISBLANK(P32),"",IFERROR((VLOOKUP(N32,'Food List'!$C:$H,5,FALSE))*P32,""))</f>
        <v/>
      </c>
      <c r="T32" s="282" t="str">
        <f>IF(ISBLANK(P32),"",IFERROR((VLOOKUP(N32,'Food List'!$C:$H,6,FALSE))*P32,""))</f>
        <v/>
      </c>
      <c r="U32" s="13"/>
      <c r="V32" s="277"/>
      <c r="W32" s="278"/>
      <c r="X32" s="279"/>
      <c r="Y32" s="279" t="str">
        <f>IF(ISBLANK(X32),"",IFERROR((VLOOKUP(X32,'Food List'!$C:$H,2,FALSE)),""))</f>
        <v/>
      </c>
      <c r="Z32" s="279"/>
      <c r="AA32" s="280" t="str">
        <f>IF(ISBLANK(Z32),"",IFERROR((VLOOKUP(X32,'Food List'!$C:$H,3,FALSE))*Z32,""))</f>
        <v/>
      </c>
      <c r="AB32" s="281" t="str">
        <f>IF(ISBLANK(Z32),"",IFERROR((VLOOKUP(X32,'Food List'!$C:$H,4,FALSE))*Z32,""))</f>
        <v/>
      </c>
      <c r="AC32" s="282" t="str">
        <f>IF(ISBLANK(Z32),"",IFERROR((VLOOKUP(X32,'Food List'!$C:$H,5,FALSE))*Z32,""))</f>
        <v/>
      </c>
      <c r="AD32" s="282" t="str">
        <f>IF(ISBLANK(Z32),"",IFERROR((VLOOKUP(X32,'Food List'!$C:$H,6,FALSE))*Z32,""))</f>
        <v/>
      </c>
      <c r="AE32" s="13"/>
      <c r="AF32" s="277"/>
      <c r="AG32" s="278"/>
      <c r="AH32" s="279"/>
      <c r="AI32" s="279" t="str">
        <f>IF(ISBLANK(AH32),"",IFERROR((VLOOKUP(AH32,'Food List'!$C:$H,2,FALSE)),""))</f>
        <v/>
      </c>
      <c r="AJ32" s="279"/>
      <c r="AK32" s="280" t="str">
        <f>IF(ISBLANK(AJ32),"",IFERROR((VLOOKUP(AH32,'Food List'!$C:$H,3,FALSE))*AJ32,""))</f>
        <v/>
      </c>
      <c r="AL32" s="281" t="str">
        <f>IF(ISBLANK(AJ32),"",IFERROR((VLOOKUP(AH32,'Food List'!$C:$H,4,FALSE))*AJ32,""))</f>
        <v/>
      </c>
      <c r="AM32" s="282" t="str">
        <f>IF(ISBLANK(AJ32),"",IFERROR((VLOOKUP(AH32,'Food List'!$C:$H,5,FALSE))*AJ32,""))</f>
        <v/>
      </c>
      <c r="AN32" s="282" t="str">
        <f>IF(ISBLANK(AJ32),"",IFERROR((VLOOKUP(AH32,'Food List'!$C:$H,6,FALSE))*AJ32,""))</f>
        <v/>
      </c>
      <c r="AO32" s="13"/>
      <c r="AP32" s="277"/>
      <c r="AQ32" s="278"/>
      <c r="AR32" s="279"/>
      <c r="AS32" s="279" t="str">
        <f>IF(ISBLANK(AR32),"",IFERROR((VLOOKUP(AR32,'Food List'!$C:$H,2,FALSE)),""))</f>
        <v/>
      </c>
      <c r="AT32" s="279"/>
      <c r="AU32" s="280" t="str">
        <f>IF(ISBLANK(AT32),"",IFERROR((VLOOKUP(AR32,'Food List'!$C:$H,3,FALSE))*AT32,""))</f>
        <v/>
      </c>
      <c r="AV32" s="281" t="str">
        <f>IF(ISBLANK(AT32),"",IFERROR((VLOOKUP(AR32,'Food List'!$C:$H,4,FALSE))*AT32,""))</f>
        <v/>
      </c>
      <c r="AW32" s="282" t="str">
        <f>IF(ISBLANK(AT32),"",IFERROR((VLOOKUP(AR32,'Food List'!$C:$H,5,FALSE))*AT32,""))</f>
        <v/>
      </c>
      <c r="AX32" s="282" t="str">
        <f>IF(ISBLANK(AT32),"",IFERROR((VLOOKUP(AR32,'Food List'!$C:$H,6,FALSE))*AT32,""))</f>
        <v/>
      </c>
      <c r="AY32" s="318"/>
      <c r="AZ32" s="277"/>
      <c r="BA32" s="278"/>
      <c r="BB32" s="279"/>
      <c r="BC32" s="279" t="str">
        <f>IF(ISBLANK(BB32),"",IFERROR((VLOOKUP(BB32,'Food List'!$C:$H,2,FALSE)),""))</f>
        <v/>
      </c>
      <c r="BD32" s="279"/>
      <c r="BE32" s="280" t="str">
        <f>IF(ISBLANK(BD32),"",IFERROR((VLOOKUP(BB32,'Food List'!$C:$H,3,FALSE))*BD32,""))</f>
        <v/>
      </c>
      <c r="BF32" s="281" t="str">
        <f>IF(ISBLANK(BD32),"",IFERROR((VLOOKUP(BB32,'Food List'!$C:$H,4,FALSE))*BD32,""))</f>
        <v/>
      </c>
      <c r="BG32" s="282" t="str">
        <f>IF(ISBLANK(BD32),"",IFERROR((VLOOKUP(BB32,'Food List'!$C:$H,5,FALSE))*BD32,""))</f>
        <v/>
      </c>
      <c r="BH32" s="282" t="str">
        <f>IF(ISBLANK(BD32),"",IFERROR((VLOOKUP(BB32,'Food List'!$C:$H,6,FALSE))*BD32,""))</f>
        <v/>
      </c>
      <c r="BI32" s="318"/>
      <c r="BJ32" s="277"/>
      <c r="BK32" s="278"/>
      <c r="BL32" s="279"/>
      <c r="BM32" s="279" t="str">
        <f>IF(ISBLANK(BL32),"",IFERROR((VLOOKUP(BL32,'Food List'!$C:$H,2,FALSE)),""))</f>
        <v/>
      </c>
      <c r="BN32" s="279"/>
      <c r="BO32" s="280" t="str">
        <f>IF(ISBLANK(BN32),"",IFERROR((VLOOKUP(BL32,'Food List'!$C:$H,3,FALSE))*BN32,""))</f>
        <v/>
      </c>
      <c r="BP32" s="281" t="str">
        <f>IF(ISBLANK(BN32),"",IFERROR((VLOOKUP(BL32,'Food List'!$C:$H,4,FALSE))*BN32,""))</f>
        <v/>
      </c>
      <c r="BQ32" s="282" t="str">
        <f>IF(ISBLANK(BN32),"",IFERROR((VLOOKUP(BL32,'Food List'!$C:$H,5,FALSE))*BN32,""))</f>
        <v/>
      </c>
      <c r="BR32" s="282" t="str">
        <f>IF(ISBLANK(BN32),"",IFERROR((VLOOKUP(BL32,'Food List'!$C:$H,6,FALSE))*BN32,""))</f>
        <v/>
      </c>
      <c r="BS32" s="261"/>
    </row>
    <row r="33">
      <c r="A33" s="266"/>
      <c r="B33" s="285"/>
      <c r="C33" s="286"/>
      <c r="D33" s="279"/>
      <c r="E33" s="279" t="str">
        <f>IF(ISBLANK(D33),"",IFERROR((VLOOKUP(D33,'Food List'!$C:$H,2,FALSE)),""))</f>
        <v/>
      </c>
      <c r="F33" s="279"/>
      <c r="G33" s="280" t="str">
        <f>IF(ISBLANK(F33),"",IFERROR((VLOOKUP(D33,'Food List'!$C:$H,3,FALSE))*F33,""))</f>
        <v/>
      </c>
      <c r="H33" s="281" t="str">
        <f>IF(ISBLANK(F33),"",IFERROR((VLOOKUP(D33,'Food List'!$C:$H,4,FALSE))*F33,""))</f>
        <v/>
      </c>
      <c r="I33" s="282" t="str">
        <f>IF(ISBLANK(F33),"",IFERROR((VLOOKUP(D33,'Food List'!$C:$H,5,FALSE))*F33,""))</f>
        <v/>
      </c>
      <c r="J33" s="282" t="str">
        <f>IF(ISBLANK(F33),"",IFERROR((VLOOKUP(D33,'Food List'!$C:$H,6,FALSE))*F33,""))</f>
        <v/>
      </c>
      <c r="K33" s="13"/>
      <c r="L33" s="285"/>
      <c r="M33" s="286"/>
      <c r="N33" s="279"/>
      <c r="O33" s="279" t="str">
        <f>IF(ISBLANK(N33),"",IFERROR((VLOOKUP(N33,'Food List'!$C:$H,2,FALSE)),""))</f>
        <v/>
      </c>
      <c r="P33" s="279"/>
      <c r="Q33" s="280" t="str">
        <f>IF(ISBLANK(P33),"",IFERROR((VLOOKUP(N33,'Food List'!$C:$H,3,FALSE))*P33,""))</f>
        <v/>
      </c>
      <c r="R33" s="281" t="str">
        <f>IF(ISBLANK(P33),"",IFERROR((VLOOKUP(N33,'Food List'!$C:$H,4,FALSE))*P33,""))</f>
        <v/>
      </c>
      <c r="S33" s="282" t="str">
        <f>IF(ISBLANK(P33),"",IFERROR((VLOOKUP(N33,'Food List'!$C:$H,5,FALSE))*P33,""))</f>
        <v/>
      </c>
      <c r="T33" s="282" t="str">
        <f>IF(ISBLANK(P33),"",IFERROR((VLOOKUP(N33,'Food List'!$C:$H,6,FALSE))*P33,""))</f>
        <v/>
      </c>
      <c r="U33" s="13"/>
      <c r="V33" s="285"/>
      <c r="W33" s="286"/>
      <c r="X33" s="279"/>
      <c r="Y33" s="279" t="str">
        <f>IF(ISBLANK(X33),"",IFERROR((VLOOKUP(X33,'Food List'!$C:$H,2,FALSE)),""))</f>
        <v/>
      </c>
      <c r="Z33" s="279"/>
      <c r="AA33" s="280" t="str">
        <f>IF(ISBLANK(Z33),"",IFERROR((VLOOKUP(X33,'Food List'!$C:$H,3,FALSE))*Z33,""))</f>
        <v/>
      </c>
      <c r="AB33" s="281" t="str">
        <f>IF(ISBLANK(Z33),"",IFERROR((VLOOKUP(X33,'Food List'!$C:$H,4,FALSE))*Z33,""))</f>
        <v/>
      </c>
      <c r="AC33" s="282" t="str">
        <f>IF(ISBLANK(Z33),"",IFERROR((VLOOKUP(X33,'Food List'!$C:$H,5,FALSE))*Z33,""))</f>
        <v/>
      </c>
      <c r="AD33" s="282" t="str">
        <f>IF(ISBLANK(Z33),"",IFERROR((VLOOKUP(X33,'Food List'!$C:$H,6,FALSE))*Z33,""))</f>
        <v/>
      </c>
      <c r="AE33" s="13"/>
      <c r="AF33" s="285"/>
      <c r="AG33" s="286"/>
      <c r="AH33" s="279"/>
      <c r="AI33" s="279" t="str">
        <f>IF(ISBLANK(AH33),"",IFERROR((VLOOKUP(AH33,'Food List'!$C:$H,2,FALSE)),""))</f>
        <v/>
      </c>
      <c r="AJ33" s="279"/>
      <c r="AK33" s="280" t="str">
        <f>IF(ISBLANK(AJ33),"",IFERROR((VLOOKUP(AH33,'Food List'!$C:$H,3,FALSE))*AJ33,""))</f>
        <v/>
      </c>
      <c r="AL33" s="281" t="str">
        <f>IF(ISBLANK(AJ33),"",IFERROR((VLOOKUP(AH33,'Food List'!$C:$H,4,FALSE))*AJ33,""))</f>
        <v/>
      </c>
      <c r="AM33" s="282" t="str">
        <f>IF(ISBLANK(AJ33),"",IFERROR((VLOOKUP(AH33,'Food List'!$C:$H,5,FALSE))*AJ33,""))</f>
        <v/>
      </c>
      <c r="AN33" s="282" t="str">
        <f>IF(ISBLANK(AJ33),"",IFERROR((VLOOKUP(AH33,'Food List'!$C:$H,6,FALSE))*AJ33,""))</f>
        <v/>
      </c>
      <c r="AO33" s="13"/>
      <c r="AP33" s="285"/>
      <c r="AQ33" s="286"/>
      <c r="AR33" s="279"/>
      <c r="AS33" s="279" t="str">
        <f>IF(ISBLANK(AR33),"",IFERROR((VLOOKUP(AR33,'Food List'!$C:$H,2,FALSE)),""))</f>
        <v/>
      </c>
      <c r="AT33" s="279"/>
      <c r="AU33" s="280" t="str">
        <f>IF(ISBLANK(AT33),"",IFERROR((VLOOKUP(AR33,'Food List'!$C:$H,3,FALSE))*AT33,""))</f>
        <v/>
      </c>
      <c r="AV33" s="281" t="str">
        <f>IF(ISBLANK(AT33),"",IFERROR((VLOOKUP(AR33,'Food List'!$C:$H,4,FALSE))*AT33,""))</f>
        <v/>
      </c>
      <c r="AW33" s="282" t="str">
        <f>IF(ISBLANK(AT33),"",IFERROR((VLOOKUP(AR33,'Food List'!$C:$H,5,FALSE))*AT33,""))</f>
        <v/>
      </c>
      <c r="AX33" s="282" t="str">
        <f>IF(ISBLANK(AT33),"",IFERROR((VLOOKUP(AR33,'Food List'!$C:$H,6,FALSE))*AT33,""))</f>
        <v/>
      </c>
      <c r="AY33" s="319"/>
      <c r="AZ33" s="285"/>
      <c r="BA33" s="286"/>
      <c r="BB33" s="279"/>
      <c r="BC33" s="279" t="str">
        <f>IF(ISBLANK(BB33),"",IFERROR((VLOOKUP(BB33,'Food List'!$C:$H,2,FALSE)),""))</f>
        <v/>
      </c>
      <c r="BD33" s="279"/>
      <c r="BE33" s="280" t="str">
        <f>IF(ISBLANK(BD33),"",IFERROR((VLOOKUP(BB33,'Food List'!$C:$H,3,FALSE))*BD33,""))</f>
        <v/>
      </c>
      <c r="BF33" s="281" t="str">
        <f>IF(ISBLANK(BD33),"",IFERROR((VLOOKUP(BB33,'Food List'!$C:$H,4,FALSE))*BD33,""))</f>
        <v/>
      </c>
      <c r="BG33" s="282" t="str">
        <f>IF(ISBLANK(BD33),"",IFERROR((VLOOKUP(BB33,'Food List'!$C:$H,5,FALSE))*BD33,""))</f>
        <v/>
      </c>
      <c r="BH33" s="282" t="str">
        <f>IF(ISBLANK(BD33),"",IFERROR((VLOOKUP(BB33,'Food List'!$C:$H,6,FALSE))*BD33,""))</f>
        <v/>
      </c>
      <c r="BI33" s="319"/>
      <c r="BJ33" s="285"/>
      <c r="BK33" s="286"/>
      <c r="BL33" s="279"/>
      <c r="BM33" s="279" t="str">
        <f>IF(ISBLANK(BL33),"",IFERROR((VLOOKUP(BL33,'Food List'!$C:$H,2,FALSE)),""))</f>
        <v/>
      </c>
      <c r="BN33" s="279"/>
      <c r="BO33" s="280" t="str">
        <f>IF(ISBLANK(BN33),"",IFERROR((VLOOKUP(BL33,'Food List'!$C:$H,3,FALSE))*BN33,""))</f>
        <v/>
      </c>
      <c r="BP33" s="281" t="str">
        <f>IF(ISBLANK(BN33),"",IFERROR((VLOOKUP(BL33,'Food List'!$C:$H,4,FALSE))*BN33,""))</f>
        <v/>
      </c>
      <c r="BQ33" s="282" t="str">
        <f>IF(ISBLANK(BN33),"",IFERROR((VLOOKUP(BL33,'Food List'!$C:$H,5,FALSE))*BN33,""))</f>
        <v/>
      </c>
      <c r="BR33" s="282" t="str">
        <f>IF(ISBLANK(BN33),"",IFERROR((VLOOKUP(BL33,'Food List'!$C:$H,6,FALSE))*BN33,""))</f>
        <v/>
      </c>
      <c r="BS33" s="257"/>
    </row>
    <row r="34">
      <c r="A34" s="266"/>
      <c r="B34" s="277"/>
      <c r="C34" s="278"/>
      <c r="D34" s="287"/>
      <c r="E34" s="287" t="str">
        <f>IF(ISBLANK(D34),"",IFERROR((VLOOKUP(D34,'Food List'!$C:$H,2,FALSE)),""))</f>
        <v/>
      </c>
      <c r="F34" s="287"/>
      <c r="G34" s="288" t="str">
        <f>IF(ISBLANK(F34),"",IFERROR((VLOOKUP(D34,'Food List'!$C:$H,3,FALSE))*F34,""))</f>
        <v/>
      </c>
      <c r="H34" s="289" t="str">
        <f>IF(ISBLANK(F34),"",IFERROR((VLOOKUP(D34,'Food List'!$C:$H,4,FALSE))*F34,""))</f>
        <v/>
      </c>
      <c r="I34" s="290" t="str">
        <f>IF(ISBLANK(F34),"",IFERROR((VLOOKUP(D34,'Food List'!$C:$H,5,FALSE))*F34,""))</f>
        <v/>
      </c>
      <c r="J34" s="290" t="str">
        <f>IF(ISBLANK(F34),"",IFERROR((VLOOKUP(D34,'Food List'!$C:$H,6,FALSE))*F34,""))</f>
        <v/>
      </c>
      <c r="K34" s="13"/>
      <c r="L34" s="277"/>
      <c r="M34" s="278"/>
      <c r="N34" s="287"/>
      <c r="O34" s="287" t="str">
        <f>IF(ISBLANK(N34),"",IFERROR((VLOOKUP(N34,'Food List'!$C:$H,2,FALSE)),""))</f>
        <v/>
      </c>
      <c r="P34" s="287"/>
      <c r="Q34" s="288" t="str">
        <f>IF(ISBLANK(P34),"",IFERROR((VLOOKUP(N34,'Food List'!$C:$H,3,FALSE))*P34,""))</f>
        <v/>
      </c>
      <c r="R34" s="289" t="str">
        <f>IF(ISBLANK(P34),"",IFERROR((VLOOKUP(N34,'Food List'!$C:$H,4,FALSE))*P34,""))</f>
        <v/>
      </c>
      <c r="S34" s="290" t="str">
        <f>IF(ISBLANK(P34),"",IFERROR((VLOOKUP(N34,'Food List'!$C:$H,5,FALSE))*P34,""))</f>
        <v/>
      </c>
      <c r="T34" s="290" t="str">
        <f>IF(ISBLANK(P34),"",IFERROR((VLOOKUP(N34,'Food List'!$C:$H,6,FALSE))*P34,""))</f>
        <v/>
      </c>
      <c r="U34" s="13"/>
      <c r="V34" s="277"/>
      <c r="W34" s="278"/>
      <c r="X34" s="287"/>
      <c r="Y34" s="287" t="str">
        <f>IF(ISBLANK(X34),"",IFERROR((VLOOKUP(X34,'Food List'!$C:$H,2,FALSE)),""))</f>
        <v/>
      </c>
      <c r="Z34" s="287"/>
      <c r="AA34" s="288" t="str">
        <f>IF(ISBLANK(Z34),"",IFERROR((VLOOKUP(X34,'Food List'!$C:$H,3,FALSE))*Z34,""))</f>
        <v/>
      </c>
      <c r="AB34" s="289" t="str">
        <f>IF(ISBLANK(Z34),"",IFERROR((VLOOKUP(X34,'Food List'!$C:$H,4,FALSE))*Z34,""))</f>
        <v/>
      </c>
      <c r="AC34" s="290" t="str">
        <f>IF(ISBLANK(Z34),"",IFERROR((VLOOKUP(X34,'Food List'!$C:$H,5,FALSE))*Z34,""))</f>
        <v/>
      </c>
      <c r="AD34" s="290" t="str">
        <f>IF(ISBLANK(Z34),"",IFERROR((VLOOKUP(X34,'Food List'!$C:$H,6,FALSE))*Z34,""))</f>
        <v/>
      </c>
      <c r="AE34" s="13"/>
      <c r="AF34" s="277"/>
      <c r="AG34" s="278"/>
      <c r="AH34" s="287"/>
      <c r="AI34" s="287" t="str">
        <f>IF(ISBLANK(AH34),"",IFERROR((VLOOKUP(AH34,'Food List'!$C:$H,2,FALSE)),""))</f>
        <v/>
      </c>
      <c r="AJ34" s="287"/>
      <c r="AK34" s="288" t="str">
        <f>IF(ISBLANK(AJ34),"",IFERROR((VLOOKUP(AH34,'Food List'!$C:$H,3,FALSE))*AJ34,""))</f>
        <v/>
      </c>
      <c r="AL34" s="289" t="str">
        <f>IF(ISBLANK(AJ34),"",IFERROR((VLOOKUP(AH34,'Food List'!$C:$H,4,FALSE))*AJ34,""))</f>
        <v/>
      </c>
      <c r="AM34" s="290" t="str">
        <f>IF(ISBLANK(AJ34),"",IFERROR((VLOOKUP(AH34,'Food List'!$C:$H,5,FALSE))*AJ34,""))</f>
        <v/>
      </c>
      <c r="AN34" s="290" t="str">
        <f>IF(ISBLANK(AJ34),"",IFERROR((VLOOKUP(AH34,'Food List'!$C:$H,6,FALSE))*AJ34,""))</f>
        <v/>
      </c>
      <c r="AO34" s="13"/>
      <c r="AP34" s="277"/>
      <c r="AQ34" s="278"/>
      <c r="AR34" s="287"/>
      <c r="AS34" s="287" t="str">
        <f>IF(ISBLANK(AR34),"",IFERROR((VLOOKUP(AR34,'Food List'!$C:$H,2,FALSE)),""))</f>
        <v/>
      </c>
      <c r="AT34" s="287"/>
      <c r="AU34" s="288" t="str">
        <f>IF(ISBLANK(AT34),"",IFERROR((VLOOKUP(AR34,'Food List'!$C:$H,3,FALSE))*AT34,""))</f>
        <v/>
      </c>
      <c r="AV34" s="289" t="str">
        <f>IF(ISBLANK(AT34),"",IFERROR((VLOOKUP(AR34,'Food List'!$C:$H,4,FALSE))*AT34,""))</f>
        <v/>
      </c>
      <c r="AW34" s="290" t="str">
        <f>IF(ISBLANK(AT34),"",IFERROR((VLOOKUP(AR34,'Food List'!$C:$H,5,FALSE))*AT34,""))</f>
        <v/>
      </c>
      <c r="AX34" s="290" t="str">
        <f>IF(ISBLANK(AT34),"",IFERROR((VLOOKUP(AR34,'Food List'!$C:$H,6,FALSE))*AT34,""))</f>
        <v/>
      </c>
      <c r="AY34" s="318"/>
      <c r="AZ34" s="277"/>
      <c r="BA34" s="278"/>
      <c r="BB34" s="287"/>
      <c r="BC34" s="287" t="str">
        <f>IF(ISBLANK(BB34),"",IFERROR((VLOOKUP(BB34,'Food List'!$C:$H,2,FALSE)),""))</f>
        <v/>
      </c>
      <c r="BD34" s="287"/>
      <c r="BE34" s="288" t="str">
        <f>IF(ISBLANK(BD34),"",IFERROR((VLOOKUP(BB34,'Food List'!$C:$H,3,FALSE))*BD34,""))</f>
        <v/>
      </c>
      <c r="BF34" s="289" t="str">
        <f>IF(ISBLANK(BD34),"",IFERROR((VLOOKUP(BB34,'Food List'!$C:$H,4,FALSE))*BD34,""))</f>
        <v/>
      </c>
      <c r="BG34" s="290" t="str">
        <f>IF(ISBLANK(BD34),"",IFERROR((VLOOKUP(BB34,'Food List'!$C:$H,5,FALSE))*BD34,""))</f>
        <v/>
      </c>
      <c r="BH34" s="290" t="str">
        <f>IF(ISBLANK(BD34),"",IFERROR((VLOOKUP(BB34,'Food List'!$C:$H,6,FALSE))*BD34,""))</f>
        <v/>
      </c>
      <c r="BI34" s="318"/>
      <c r="BJ34" s="277"/>
      <c r="BK34" s="278"/>
      <c r="BL34" s="287"/>
      <c r="BM34" s="287" t="str">
        <f>IF(ISBLANK(BL34),"",IFERROR((VLOOKUP(BL34,'Food List'!$C:$H,2,FALSE)),""))</f>
        <v/>
      </c>
      <c r="BN34" s="287"/>
      <c r="BO34" s="288" t="str">
        <f>IF(ISBLANK(BN34),"",IFERROR((VLOOKUP(BL34,'Food List'!$C:$H,3,FALSE))*BN34,""))</f>
        <v/>
      </c>
      <c r="BP34" s="289" t="str">
        <f>IF(ISBLANK(BN34),"",IFERROR((VLOOKUP(BL34,'Food List'!$C:$H,4,FALSE))*BN34,""))</f>
        <v/>
      </c>
      <c r="BQ34" s="290" t="str">
        <f>IF(ISBLANK(BN34),"",IFERROR((VLOOKUP(BL34,'Food List'!$C:$H,5,FALSE))*BN34,""))</f>
        <v/>
      </c>
      <c r="BR34" s="290" t="str">
        <f>IF(ISBLANK(BN34),"",IFERROR((VLOOKUP(BL34,'Food List'!$C:$H,6,FALSE))*BN34,""))</f>
        <v/>
      </c>
      <c r="BS34" s="261"/>
    </row>
    <row r="35" ht="18.75" customHeight="1">
      <c r="A35" s="266"/>
      <c r="B35" s="291"/>
      <c r="C35" s="292"/>
      <c r="D35" s="293" t="s">
        <v>594</v>
      </c>
      <c r="E35" s="294"/>
      <c r="F35" s="295"/>
      <c r="G35" s="296">
        <f t="shared" ref="G35:J35" si="22">IFERROR(SUM(G29:G34),0)</f>
        <v>556</v>
      </c>
      <c r="H35" s="296">
        <f t="shared" si="22"/>
        <v>50.8</v>
      </c>
      <c r="I35" s="296">
        <f t="shared" si="22"/>
        <v>58.6</v>
      </c>
      <c r="J35" s="296">
        <f t="shared" si="22"/>
        <v>13.1</v>
      </c>
      <c r="K35" s="13"/>
      <c r="L35" s="291"/>
      <c r="M35" s="292"/>
      <c r="N35" s="293" t="s">
        <v>594</v>
      </c>
      <c r="O35" s="294"/>
      <c r="P35" s="295"/>
      <c r="Q35" s="296">
        <f t="shared" ref="Q35:T35" si="23">IFERROR(SUM(Q29:Q34),0)</f>
        <v>200</v>
      </c>
      <c r="R35" s="296">
        <f t="shared" si="23"/>
        <v>20</v>
      </c>
      <c r="S35" s="296">
        <f t="shared" si="23"/>
        <v>20</v>
      </c>
      <c r="T35" s="296">
        <f t="shared" si="23"/>
        <v>5</v>
      </c>
      <c r="U35" s="13"/>
      <c r="V35" s="291"/>
      <c r="W35" s="292"/>
      <c r="X35" s="293" t="s">
        <v>594</v>
      </c>
      <c r="Y35" s="294"/>
      <c r="Z35" s="295"/>
      <c r="AA35" s="296">
        <f t="shared" ref="AA35:AD35" si="24">IFERROR(SUM(AA29:AA34),0)</f>
        <v>320.1</v>
      </c>
      <c r="AB35" s="296">
        <f t="shared" si="24"/>
        <v>34.72</v>
      </c>
      <c r="AC35" s="296">
        <f t="shared" si="24"/>
        <v>43.7</v>
      </c>
      <c r="AD35" s="296">
        <f t="shared" si="24"/>
        <v>0.6</v>
      </c>
      <c r="AE35" s="13"/>
      <c r="AF35" s="291"/>
      <c r="AG35" s="292"/>
      <c r="AH35" s="293" t="s">
        <v>594</v>
      </c>
      <c r="AI35" s="294"/>
      <c r="AJ35" s="295"/>
      <c r="AK35" s="296">
        <f t="shared" ref="AK35:AN35" si="25">IFERROR(SUM(AK29:AK34),0)</f>
        <v>0</v>
      </c>
      <c r="AL35" s="296">
        <f t="shared" si="25"/>
        <v>0</v>
      </c>
      <c r="AM35" s="296">
        <f t="shared" si="25"/>
        <v>0</v>
      </c>
      <c r="AN35" s="296">
        <f t="shared" si="25"/>
        <v>0</v>
      </c>
      <c r="AO35" s="13"/>
      <c r="AP35" s="291"/>
      <c r="AQ35" s="292"/>
      <c r="AR35" s="293" t="s">
        <v>594</v>
      </c>
      <c r="AS35" s="294"/>
      <c r="AT35" s="295"/>
      <c r="AU35" s="296">
        <f t="shared" ref="AU35:AX35" si="26">IFERROR(SUM(AU29:AU34),0)</f>
        <v>0</v>
      </c>
      <c r="AV35" s="296">
        <f t="shared" si="26"/>
        <v>0</v>
      </c>
      <c r="AW35" s="296">
        <f t="shared" si="26"/>
        <v>0</v>
      </c>
      <c r="AX35" s="296">
        <f t="shared" si="26"/>
        <v>0</v>
      </c>
      <c r="AY35" s="319"/>
      <c r="AZ35" s="291"/>
      <c r="BA35" s="292"/>
      <c r="BB35" s="293" t="s">
        <v>594</v>
      </c>
      <c r="BC35" s="294"/>
      <c r="BD35" s="295"/>
      <c r="BE35" s="296">
        <f t="shared" ref="BE35:BH35" si="27">IFERROR(SUM(BE29:BE34),0)</f>
        <v>0</v>
      </c>
      <c r="BF35" s="296">
        <f t="shared" si="27"/>
        <v>0</v>
      </c>
      <c r="BG35" s="296">
        <f t="shared" si="27"/>
        <v>0</v>
      </c>
      <c r="BH35" s="296">
        <f t="shared" si="27"/>
        <v>0</v>
      </c>
      <c r="BI35" s="319"/>
      <c r="BJ35" s="291"/>
      <c r="BK35" s="292"/>
      <c r="BL35" s="293" t="s">
        <v>594</v>
      </c>
      <c r="BM35" s="294"/>
      <c r="BN35" s="295"/>
      <c r="BO35" s="296">
        <f t="shared" ref="BO35:BR35" si="28">IFERROR(SUM(BO29:BO34),0)</f>
        <v>0</v>
      </c>
      <c r="BP35" s="296">
        <f t="shared" si="28"/>
        <v>0</v>
      </c>
      <c r="BQ35" s="296">
        <f t="shared" si="28"/>
        <v>0</v>
      </c>
      <c r="BR35" s="296">
        <f t="shared" si="28"/>
        <v>0</v>
      </c>
      <c r="BS35" s="257"/>
    </row>
    <row r="36" ht="7.5" customHeight="1">
      <c r="A36" s="247"/>
      <c r="B36" s="266"/>
      <c r="C36" s="301"/>
      <c r="D36" s="301"/>
      <c r="E36" s="301"/>
      <c r="F36" s="301"/>
      <c r="G36" s="301"/>
      <c r="H36" s="301"/>
      <c r="I36" s="301"/>
      <c r="J36" s="302"/>
      <c r="K36" s="13"/>
      <c r="L36" s="266"/>
      <c r="M36" s="301"/>
      <c r="N36" s="301"/>
      <c r="O36" s="301"/>
      <c r="P36" s="301"/>
      <c r="Q36" s="301"/>
      <c r="R36" s="301"/>
      <c r="S36" s="301"/>
      <c r="T36" s="302"/>
      <c r="U36" s="13"/>
      <c r="V36" s="266"/>
      <c r="W36" s="301"/>
      <c r="X36" s="301"/>
      <c r="Y36" s="301"/>
      <c r="Z36" s="301"/>
      <c r="AA36" s="301"/>
      <c r="AB36" s="301"/>
      <c r="AC36" s="301"/>
      <c r="AD36" s="302"/>
      <c r="AE36" s="13"/>
      <c r="AF36" s="266"/>
      <c r="AG36" s="301"/>
      <c r="AH36" s="301"/>
      <c r="AI36" s="301"/>
      <c r="AJ36" s="301"/>
      <c r="AK36" s="301"/>
      <c r="AL36" s="301"/>
      <c r="AM36" s="301"/>
      <c r="AN36" s="302"/>
      <c r="AO36" s="13"/>
      <c r="AP36" s="266"/>
      <c r="AQ36" s="301"/>
      <c r="AR36" s="301"/>
      <c r="AS36" s="301"/>
      <c r="AT36" s="301"/>
      <c r="AU36" s="301"/>
      <c r="AV36" s="301"/>
      <c r="AW36" s="301"/>
      <c r="AX36" s="302"/>
      <c r="AY36" s="318"/>
      <c r="AZ36" s="266"/>
      <c r="BA36" s="301"/>
      <c r="BB36" s="301"/>
      <c r="BC36" s="301"/>
      <c r="BD36" s="301"/>
      <c r="BE36" s="301"/>
      <c r="BF36" s="301"/>
      <c r="BG36" s="301"/>
      <c r="BH36" s="302"/>
      <c r="BI36" s="318"/>
      <c r="BJ36" s="266"/>
      <c r="BK36" s="301"/>
      <c r="BL36" s="301"/>
      <c r="BM36" s="301"/>
      <c r="BN36" s="301"/>
      <c r="BO36" s="301"/>
      <c r="BP36" s="301"/>
      <c r="BQ36" s="301"/>
      <c r="BR36" s="302"/>
      <c r="BS36" s="261"/>
    </row>
    <row r="37">
      <c r="A37" s="266"/>
      <c r="B37" s="269" t="s">
        <v>603</v>
      </c>
      <c r="C37" s="270"/>
      <c r="D37" s="271"/>
      <c r="E37" s="271" t="str">
        <f>IF(ISBLANK(D37),"",IFERROR((VLOOKUP(D37,'Food List'!$C:$H,2,FALSE)),""))</f>
        <v/>
      </c>
      <c r="F37" s="271"/>
      <c r="G37" s="272" t="str">
        <f>IF(ISBLANK(F37),"",IFERROR((VLOOKUP(D37,'Food List'!$C:$H,3,FALSE))*F37,""))</f>
        <v/>
      </c>
      <c r="H37" s="273" t="str">
        <f>IF(ISBLANK(F37),"",IFERROR((VLOOKUP(D37,'Food List'!$C:$H,4,FALSE))*F37,""))</f>
        <v/>
      </c>
      <c r="I37" s="274" t="str">
        <f>IF(ISBLANK(F37),"",IFERROR((VLOOKUP(D37,'Food List'!$C:$H,5,FALSE))*F37,""))</f>
        <v/>
      </c>
      <c r="J37" s="274" t="str">
        <f>IF(ISBLANK(F37),"",IFERROR((VLOOKUP(D37,'Food List'!$C:$H,6,FALSE))*F37,""))</f>
        <v/>
      </c>
      <c r="K37" s="13"/>
      <c r="L37" s="269" t="s">
        <v>603</v>
      </c>
      <c r="M37" s="270"/>
      <c r="N37" s="271"/>
      <c r="O37" s="271" t="str">
        <f>IF(ISBLANK(N37),"",IFERROR((VLOOKUP(N37,'Food List'!$C:$H,2,FALSE)),""))</f>
        <v/>
      </c>
      <c r="P37" s="271"/>
      <c r="Q37" s="272" t="str">
        <f>IF(ISBLANK(P37),"",IFERROR((VLOOKUP(N37,'Food List'!$C:$H,3,FALSE))*P37,""))</f>
        <v/>
      </c>
      <c r="R37" s="273" t="str">
        <f>IF(ISBLANK(P37),"",IFERROR((VLOOKUP(N37,'Food List'!$C:$H,4,FALSE))*P37,""))</f>
        <v/>
      </c>
      <c r="S37" s="274" t="str">
        <f>IF(ISBLANK(P37),"",IFERROR((VLOOKUP(N37,'Food List'!$C:$H,5,FALSE))*P37,""))</f>
        <v/>
      </c>
      <c r="T37" s="274" t="str">
        <f>IF(ISBLANK(P37),"",IFERROR((VLOOKUP(N37,'Food List'!$C:$H,6,FALSE))*P37,""))</f>
        <v/>
      </c>
      <c r="U37" s="13"/>
      <c r="V37" s="269" t="s">
        <v>603</v>
      </c>
      <c r="W37" s="270"/>
      <c r="X37" s="271"/>
      <c r="Y37" s="271" t="str">
        <f>IF(ISBLANK(X37),"",IFERROR((VLOOKUP(X37,'Food List'!$C:$H,2,FALSE)),""))</f>
        <v/>
      </c>
      <c r="Z37" s="271"/>
      <c r="AA37" s="272" t="str">
        <f>IF(ISBLANK(Z37),"",IFERROR((VLOOKUP(X37,'Food List'!$C:$H,3,FALSE))*Z37,""))</f>
        <v/>
      </c>
      <c r="AB37" s="273" t="str">
        <f>IF(ISBLANK(Z37),"",IFERROR((VLOOKUP(X37,'Food List'!$C:$H,4,FALSE))*Z37,""))</f>
        <v/>
      </c>
      <c r="AC37" s="274" t="str">
        <f>IF(ISBLANK(Z37),"",IFERROR((VLOOKUP(X37,'Food List'!$C:$H,5,FALSE))*Z37,""))</f>
        <v/>
      </c>
      <c r="AD37" s="274" t="str">
        <f>IF(ISBLANK(Z37),"",IFERROR((VLOOKUP(X37,'Food List'!$C:$H,6,FALSE))*Z37,""))</f>
        <v/>
      </c>
      <c r="AE37" s="13"/>
      <c r="AF37" s="269" t="s">
        <v>603</v>
      </c>
      <c r="AG37" s="270"/>
      <c r="AH37" s="271"/>
      <c r="AI37" s="271" t="str">
        <f>IF(ISBLANK(AH37),"",IFERROR((VLOOKUP(AH37,'Food List'!$C:$H,2,FALSE)),""))</f>
        <v/>
      </c>
      <c r="AJ37" s="271"/>
      <c r="AK37" s="272" t="str">
        <f>IF(ISBLANK(AJ37),"",IFERROR((VLOOKUP(AH37,'Food List'!$C:$H,3,FALSE))*AJ37,""))</f>
        <v/>
      </c>
      <c r="AL37" s="273" t="str">
        <f>IF(ISBLANK(AJ37),"",IFERROR((VLOOKUP(AH37,'Food List'!$C:$H,4,FALSE))*AJ37,""))</f>
        <v/>
      </c>
      <c r="AM37" s="274" t="str">
        <f>IF(ISBLANK(AJ37),"",IFERROR((VLOOKUP(AH37,'Food List'!$C:$H,5,FALSE))*AJ37,""))</f>
        <v/>
      </c>
      <c r="AN37" s="274" t="str">
        <f>IF(ISBLANK(AJ37),"",IFERROR((VLOOKUP(AH37,'Food List'!$C:$H,6,FALSE))*AJ37,""))</f>
        <v/>
      </c>
      <c r="AO37" s="13"/>
      <c r="AP37" s="269" t="s">
        <v>603</v>
      </c>
      <c r="AQ37" s="270"/>
      <c r="AR37" s="271"/>
      <c r="AS37" s="271" t="str">
        <f>IF(ISBLANK(AR37),"",IFERROR((VLOOKUP(AR37,'Food List'!$C:$H,2,FALSE)),""))</f>
        <v/>
      </c>
      <c r="AT37" s="271"/>
      <c r="AU37" s="272" t="str">
        <f>IF(ISBLANK(AT37),"",IFERROR((VLOOKUP(AR37,'Food List'!$C:$H,3,FALSE))*AT37,""))</f>
        <v/>
      </c>
      <c r="AV37" s="273" t="str">
        <f>IF(ISBLANK(AT37),"",IFERROR((VLOOKUP(AR37,'Food List'!$C:$H,4,FALSE))*AT37,""))</f>
        <v/>
      </c>
      <c r="AW37" s="274" t="str">
        <f>IF(ISBLANK(AT37),"",IFERROR((VLOOKUP(AR37,'Food List'!$C:$H,5,FALSE))*AT37,""))</f>
        <v/>
      </c>
      <c r="AX37" s="274" t="str">
        <f>IF(ISBLANK(AT37),"",IFERROR((VLOOKUP(AR37,'Food List'!$C:$H,6,FALSE))*AT37,""))</f>
        <v/>
      </c>
      <c r="AY37" s="319"/>
      <c r="AZ37" s="269" t="s">
        <v>603</v>
      </c>
      <c r="BA37" s="270"/>
      <c r="BB37" s="271"/>
      <c r="BC37" s="271" t="str">
        <f>IF(ISBLANK(BB37),"",IFERROR((VLOOKUP(BB37,'Food List'!$C:$H,2,FALSE)),""))</f>
        <v/>
      </c>
      <c r="BD37" s="271"/>
      <c r="BE37" s="272" t="str">
        <f>IF(ISBLANK(BD37),"",IFERROR((VLOOKUP(BB37,'Food List'!$C:$H,3,FALSE))*BD37,""))</f>
        <v/>
      </c>
      <c r="BF37" s="273" t="str">
        <f>IF(ISBLANK(BD37),"",IFERROR((VLOOKUP(BB37,'Food List'!$C:$H,4,FALSE))*BD37,""))</f>
        <v/>
      </c>
      <c r="BG37" s="274" t="str">
        <f>IF(ISBLANK(BD37),"",IFERROR((VLOOKUP(BB37,'Food List'!$C:$H,5,FALSE))*BD37,""))</f>
        <v/>
      </c>
      <c r="BH37" s="274" t="str">
        <f>IF(ISBLANK(BD37),"",IFERROR((VLOOKUP(BB37,'Food List'!$C:$H,6,FALSE))*BD37,""))</f>
        <v/>
      </c>
      <c r="BI37" s="319"/>
      <c r="BJ37" s="269" t="s">
        <v>603</v>
      </c>
      <c r="BK37" s="270"/>
      <c r="BL37" s="271"/>
      <c r="BM37" s="271" t="str">
        <f>IF(ISBLANK(BL37),"",IFERROR((VLOOKUP(BL37,'Food List'!$C:$H,2,FALSE)),""))</f>
        <v/>
      </c>
      <c r="BN37" s="271"/>
      <c r="BO37" s="272" t="str">
        <f>IF(ISBLANK(BN37),"",IFERROR((VLOOKUP(BL37,'Food List'!$C:$H,3,FALSE))*BN37,""))</f>
        <v/>
      </c>
      <c r="BP37" s="273" t="str">
        <f>IF(ISBLANK(BN37),"",IFERROR((VLOOKUP(BL37,'Food List'!$C:$H,4,FALSE))*BN37,""))</f>
        <v/>
      </c>
      <c r="BQ37" s="274" t="str">
        <f>IF(ISBLANK(BN37),"",IFERROR((VLOOKUP(BL37,'Food List'!$C:$H,5,FALSE))*BN37,""))</f>
        <v/>
      </c>
      <c r="BR37" s="274" t="str">
        <f>IF(ISBLANK(BN37),"",IFERROR((VLOOKUP(BL37,'Food List'!$C:$H,6,FALSE))*BN37,""))</f>
        <v/>
      </c>
      <c r="BS37" s="257"/>
    </row>
    <row r="38">
      <c r="A38" s="266"/>
      <c r="B38" s="277"/>
      <c r="C38" s="278"/>
      <c r="D38" s="279"/>
      <c r="E38" s="279" t="str">
        <f>IF(ISBLANK(D38),"",IFERROR((VLOOKUP(D38,'Food List'!$C:$H,2,FALSE)),""))</f>
        <v/>
      </c>
      <c r="F38" s="279"/>
      <c r="G38" s="280" t="str">
        <f>IF(ISBLANK(F38),"",IFERROR((VLOOKUP(D38,'Food List'!$C:$H,3,FALSE))*F38,""))</f>
        <v/>
      </c>
      <c r="H38" s="281" t="str">
        <f>IF(ISBLANK(F38),"",IFERROR((VLOOKUP(D38,'Food List'!$C:$H,4,FALSE))*F38,""))</f>
        <v/>
      </c>
      <c r="I38" s="282" t="str">
        <f>IF(ISBLANK(F38),"",IFERROR((VLOOKUP(D38,'Food List'!$C:$H,5,FALSE))*F38,""))</f>
        <v/>
      </c>
      <c r="J38" s="282" t="str">
        <f>IF(ISBLANK(F38),"",IFERROR((VLOOKUP(D38,'Food List'!$C:$H,6,FALSE))*F38,""))</f>
        <v/>
      </c>
      <c r="K38" s="13"/>
      <c r="L38" s="277"/>
      <c r="M38" s="278"/>
      <c r="N38" s="279"/>
      <c r="O38" s="279" t="str">
        <f>IF(ISBLANK(N38),"",IFERROR((VLOOKUP(N38,'Food List'!$C:$H,2,FALSE)),""))</f>
        <v/>
      </c>
      <c r="P38" s="279"/>
      <c r="Q38" s="280" t="str">
        <f>IF(ISBLANK(P38),"",IFERROR((VLOOKUP(N38,'Food List'!$C:$H,3,FALSE))*P38,""))</f>
        <v/>
      </c>
      <c r="R38" s="281" t="str">
        <f>IF(ISBLANK(P38),"",IFERROR((VLOOKUP(N38,'Food List'!$C:$H,4,FALSE))*P38,""))</f>
        <v/>
      </c>
      <c r="S38" s="282" t="str">
        <f>IF(ISBLANK(P38),"",IFERROR((VLOOKUP(N38,'Food List'!$C:$H,5,FALSE))*P38,""))</f>
        <v/>
      </c>
      <c r="T38" s="282" t="str">
        <f>IF(ISBLANK(P38),"",IFERROR((VLOOKUP(N38,'Food List'!$C:$H,6,FALSE))*P38,""))</f>
        <v/>
      </c>
      <c r="U38" s="13"/>
      <c r="V38" s="277"/>
      <c r="W38" s="278"/>
      <c r="X38" s="279"/>
      <c r="Y38" s="279" t="str">
        <f>IF(ISBLANK(X38),"",IFERROR((VLOOKUP(X38,'Food List'!$C:$H,2,FALSE)),""))</f>
        <v/>
      </c>
      <c r="Z38" s="279"/>
      <c r="AA38" s="280" t="str">
        <f>IF(ISBLANK(Z38),"",IFERROR((VLOOKUP(X38,'Food List'!$C:$H,3,FALSE))*Z38,""))</f>
        <v/>
      </c>
      <c r="AB38" s="281" t="str">
        <f>IF(ISBLANK(Z38),"",IFERROR((VLOOKUP(X38,'Food List'!$C:$H,4,FALSE))*Z38,""))</f>
        <v/>
      </c>
      <c r="AC38" s="282" t="str">
        <f>IF(ISBLANK(Z38),"",IFERROR((VLOOKUP(X38,'Food List'!$C:$H,5,FALSE))*Z38,""))</f>
        <v/>
      </c>
      <c r="AD38" s="282" t="str">
        <f>IF(ISBLANK(Z38),"",IFERROR((VLOOKUP(X38,'Food List'!$C:$H,6,FALSE))*Z38,""))</f>
        <v/>
      </c>
      <c r="AE38" s="13"/>
      <c r="AF38" s="277"/>
      <c r="AG38" s="278"/>
      <c r="AH38" s="279"/>
      <c r="AI38" s="279" t="str">
        <f>IF(ISBLANK(AH38),"",IFERROR((VLOOKUP(AH38,'Food List'!$C:$H,2,FALSE)),""))</f>
        <v/>
      </c>
      <c r="AJ38" s="279"/>
      <c r="AK38" s="280" t="str">
        <f>IF(ISBLANK(AJ38),"",IFERROR((VLOOKUP(AH38,'Food List'!$C:$H,3,FALSE))*AJ38,""))</f>
        <v/>
      </c>
      <c r="AL38" s="281" t="str">
        <f>IF(ISBLANK(AJ38),"",IFERROR((VLOOKUP(AH38,'Food List'!$C:$H,4,FALSE))*AJ38,""))</f>
        <v/>
      </c>
      <c r="AM38" s="282" t="str">
        <f>IF(ISBLANK(AJ38),"",IFERROR((VLOOKUP(AH38,'Food List'!$C:$H,5,FALSE))*AJ38,""))</f>
        <v/>
      </c>
      <c r="AN38" s="282" t="str">
        <f>IF(ISBLANK(AJ38),"",IFERROR((VLOOKUP(AH38,'Food List'!$C:$H,6,FALSE))*AJ38,""))</f>
        <v/>
      </c>
      <c r="AO38" s="13"/>
      <c r="AP38" s="277"/>
      <c r="AQ38" s="278"/>
      <c r="AR38" s="279"/>
      <c r="AS38" s="279" t="str">
        <f>IF(ISBLANK(AR38),"",IFERROR((VLOOKUP(AR38,'Food List'!$C:$H,2,FALSE)),""))</f>
        <v/>
      </c>
      <c r="AT38" s="279"/>
      <c r="AU38" s="280" t="str">
        <f>IF(ISBLANK(AT38),"",IFERROR((VLOOKUP(AR38,'Food List'!$C:$H,3,FALSE))*AT38,""))</f>
        <v/>
      </c>
      <c r="AV38" s="281" t="str">
        <f>IF(ISBLANK(AT38),"",IFERROR((VLOOKUP(AR38,'Food List'!$C:$H,4,FALSE))*AT38,""))</f>
        <v/>
      </c>
      <c r="AW38" s="282" t="str">
        <f>IF(ISBLANK(AT38),"",IFERROR((VLOOKUP(AR38,'Food List'!$C:$H,5,FALSE))*AT38,""))</f>
        <v/>
      </c>
      <c r="AX38" s="282" t="str">
        <f>IF(ISBLANK(AT38),"",IFERROR((VLOOKUP(AR38,'Food List'!$C:$H,6,FALSE))*AT38,""))</f>
        <v/>
      </c>
      <c r="AY38" s="318"/>
      <c r="AZ38" s="277"/>
      <c r="BA38" s="278"/>
      <c r="BB38" s="279"/>
      <c r="BC38" s="279" t="str">
        <f>IF(ISBLANK(BB38),"",IFERROR((VLOOKUP(BB38,'Food List'!$C:$H,2,FALSE)),""))</f>
        <v/>
      </c>
      <c r="BD38" s="279"/>
      <c r="BE38" s="280" t="str">
        <f>IF(ISBLANK(BD38),"",IFERROR((VLOOKUP(BB38,'Food List'!$C:$H,3,FALSE))*BD38,""))</f>
        <v/>
      </c>
      <c r="BF38" s="281" t="str">
        <f>IF(ISBLANK(BD38),"",IFERROR((VLOOKUP(BB38,'Food List'!$C:$H,4,FALSE))*BD38,""))</f>
        <v/>
      </c>
      <c r="BG38" s="282" t="str">
        <f>IF(ISBLANK(BD38),"",IFERROR((VLOOKUP(BB38,'Food List'!$C:$H,5,FALSE))*BD38,""))</f>
        <v/>
      </c>
      <c r="BH38" s="282" t="str">
        <f>IF(ISBLANK(BD38),"",IFERROR((VLOOKUP(BB38,'Food List'!$C:$H,6,FALSE))*BD38,""))</f>
        <v/>
      </c>
      <c r="BI38" s="318"/>
      <c r="BJ38" s="277"/>
      <c r="BK38" s="278"/>
      <c r="BL38" s="279"/>
      <c r="BM38" s="279" t="str">
        <f>IF(ISBLANK(BL38),"",IFERROR((VLOOKUP(BL38,'Food List'!$C:$H,2,FALSE)),""))</f>
        <v/>
      </c>
      <c r="BN38" s="279"/>
      <c r="BO38" s="280" t="str">
        <f>IF(ISBLANK(BN38),"",IFERROR((VLOOKUP(BL38,'Food List'!$C:$H,3,FALSE))*BN38,""))</f>
        <v/>
      </c>
      <c r="BP38" s="281" t="str">
        <f>IF(ISBLANK(BN38),"",IFERROR((VLOOKUP(BL38,'Food List'!$C:$H,4,FALSE))*BN38,""))</f>
        <v/>
      </c>
      <c r="BQ38" s="282" t="str">
        <f>IF(ISBLANK(BN38),"",IFERROR((VLOOKUP(BL38,'Food List'!$C:$H,5,FALSE))*BN38,""))</f>
        <v/>
      </c>
      <c r="BR38" s="282" t="str">
        <f>IF(ISBLANK(BN38),"",IFERROR((VLOOKUP(BL38,'Food List'!$C:$H,6,FALSE))*BN38,""))</f>
        <v/>
      </c>
      <c r="BS38" s="261"/>
    </row>
    <row r="39">
      <c r="A39" s="266"/>
      <c r="B39" s="285"/>
      <c r="C39" s="286"/>
      <c r="D39" s="279"/>
      <c r="E39" s="279" t="str">
        <f>IF(ISBLANK(D39),"",IFERROR((VLOOKUP(D39,'Food List'!$C:$H,2,FALSE)),""))</f>
        <v/>
      </c>
      <c r="F39" s="279"/>
      <c r="G39" s="280" t="str">
        <f>IF(ISBLANK(F39),"",IFERROR((VLOOKUP(D39,'Food List'!$C:$H,3,FALSE))*F39,""))</f>
        <v/>
      </c>
      <c r="H39" s="281" t="str">
        <f>IF(ISBLANK(F39),"",IFERROR((VLOOKUP(D39,'Food List'!$C:$H,4,FALSE))*F39,""))</f>
        <v/>
      </c>
      <c r="I39" s="282" t="str">
        <f>IF(ISBLANK(F39),"",IFERROR((VLOOKUP(D39,'Food List'!$C:$H,5,FALSE))*F39,""))</f>
        <v/>
      </c>
      <c r="J39" s="282" t="str">
        <f>IF(ISBLANK(F39),"",IFERROR((VLOOKUP(D39,'Food List'!$C:$H,6,FALSE))*F39,""))</f>
        <v/>
      </c>
      <c r="K39" s="13"/>
      <c r="L39" s="285"/>
      <c r="M39" s="286"/>
      <c r="N39" s="279"/>
      <c r="O39" s="279" t="str">
        <f>IF(ISBLANK(N39),"",IFERROR((VLOOKUP(N39,'Food List'!$C:$H,2,FALSE)),""))</f>
        <v/>
      </c>
      <c r="P39" s="279"/>
      <c r="Q39" s="280" t="str">
        <f>IF(ISBLANK(P39),"",IFERROR((VLOOKUP(N39,'Food List'!$C:$H,3,FALSE))*P39,""))</f>
        <v/>
      </c>
      <c r="R39" s="281" t="str">
        <f>IF(ISBLANK(P39),"",IFERROR((VLOOKUP(N39,'Food List'!$C:$H,4,FALSE))*P39,""))</f>
        <v/>
      </c>
      <c r="S39" s="282" t="str">
        <f>IF(ISBLANK(P39),"",IFERROR((VLOOKUP(N39,'Food List'!$C:$H,5,FALSE))*P39,""))</f>
        <v/>
      </c>
      <c r="T39" s="282" t="str">
        <f>IF(ISBLANK(P39),"",IFERROR((VLOOKUP(N39,'Food List'!$C:$H,6,FALSE))*P39,""))</f>
        <v/>
      </c>
      <c r="U39" s="13"/>
      <c r="V39" s="285"/>
      <c r="W39" s="286"/>
      <c r="X39" s="279"/>
      <c r="Y39" s="279" t="str">
        <f>IF(ISBLANK(X39),"",IFERROR((VLOOKUP(X39,'Food List'!$C:$H,2,FALSE)),""))</f>
        <v/>
      </c>
      <c r="Z39" s="279"/>
      <c r="AA39" s="280" t="str">
        <f>IF(ISBLANK(Z39),"",IFERROR((VLOOKUP(X39,'Food List'!$C:$H,3,FALSE))*Z39,""))</f>
        <v/>
      </c>
      <c r="AB39" s="281" t="str">
        <f>IF(ISBLANK(Z39),"",IFERROR((VLOOKUP(X39,'Food List'!$C:$H,4,FALSE))*Z39,""))</f>
        <v/>
      </c>
      <c r="AC39" s="282" t="str">
        <f>IF(ISBLANK(Z39),"",IFERROR((VLOOKUP(X39,'Food List'!$C:$H,5,FALSE))*Z39,""))</f>
        <v/>
      </c>
      <c r="AD39" s="282" t="str">
        <f>IF(ISBLANK(Z39),"",IFERROR((VLOOKUP(X39,'Food List'!$C:$H,6,FALSE))*Z39,""))</f>
        <v/>
      </c>
      <c r="AE39" s="13"/>
      <c r="AF39" s="285"/>
      <c r="AG39" s="286"/>
      <c r="AH39" s="279"/>
      <c r="AI39" s="279" t="str">
        <f>IF(ISBLANK(AH39),"",IFERROR((VLOOKUP(AH39,'Food List'!$C:$H,2,FALSE)),""))</f>
        <v/>
      </c>
      <c r="AJ39" s="279"/>
      <c r="AK39" s="280" t="str">
        <f>IF(ISBLANK(AJ39),"",IFERROR((VLOOKUP(AH39,'Food List'!$C:$H,3,FALSE))*AJ39,""))</f>
        <v/>
      </c>
      <c r="AL39" s="281" t="str">
        <f>IF(ISBLANK(AJ39),"",IFERROR((VLOOKUP(AH39,'Food List'!$C:$H,4,FALSE))*AJ39,""))</f>
        <v/>
      </c>
      <c r="AM39" s="282" t="str">
        <f>IF(ISBLANK(AJ39),"",IFERROR((VLOOKUP(AH39,'Food List'!$C:$H,5,FALSE))*AJ39,""))</f>
        <v/>
      </c>
      <c r="AN39" s="282" t="str">
        <f>IF(ISBLANK(AJ39),"",IFERROR((VLOOKUP(AH39,'Food List'!$C:$H,6,FALSE))*AJ39,""))</f>
        <v/>
      </c>
      <c r="AO39" s="13"/>
      <c r="AP39" s="285"/>
      <c r="AQ39" s="286"/>
      <c r="AR39" s="279"/>
      <c r="AS39" s="279" t="str">
        <f>IF(ISBLANK(AR39),"",IFERROR((VLOOKUP(AR39,'Food List'!$C:$H,2,FALSE)),""))</f>
        <v/>
      </c>
      <c r="AT39" s="279"/>
      <c r="AU39" s="280" t="str">
        <f>IF(ISBLANK(AT39),"",IFERROR((VLOOKUP(AR39,'Food List'!$C:$H,3,FALSE))*AT39,""))</f>
        <v/>
      </c>
      <c r="AV39" s="281" t="str">
        <f>IF(ISBLANK(AT39),"",IFERROR((VLOOKUP(AR39,'Food List'!$C:$H,4,FALSE))*AT39,""))</f>
        <v/>
      </c>
      <c r="AW39" s="282" t="str">
        <f>IF(ISBLANK(AT39),"",IFERROR((VLOOKUP(AR39,'Food List'!$C:$H,5,FALSE))*AT39,""))</f>
        <v/>
      </c>
      <c r="AX39" s="282" t="str">
        <f>IF(ISBLANK(AT39),"",IFERROR((VLOOKUP(AR39,'Food List'!$C:$H,6,FALSE))*AT39,""))</f>
        <v/>
      </c>
      <c r="AY39" s="319"/>
      <c r="AZ39" s="285"/>
      <c r="BA39" s="286"/>
      <c r="BB39" s="279"/>
      <c r="BC39" s="279" t="str">
        <f>IF(ISBLANK(BB39),"",IFERROR((VLOOKUP(BB39,'Food List'!$C:$H,2,FALSE)),""))</f>
        <v/>
      </c>
      <c r="BD39" s="279"/>
      <c r="BE39" s="280" t="str">
        <f>IF(ISBLANK(BD39),"",IFERROR((VLOOKUP(BB39,'Food List'!$C:$H,3,FALSE))*BD39,""))</f>
        <v/>
      </c>
      <c r="BF39" s="281" t="str">
        <f>IF(ISBLANK(BD39),"",IFERROR((VLOOKUP(BB39,'Food List'!$C:$H,4,FALSE))*BD39,""))</f>
        <v/>
      </c>
      <c r="BG39" s="282" t="str">
        <f>IF(ISBLANK(BD39),"",IFERROR((VLOOKUP(BB39,'Food List'!$C:$H,5,FALSE))*BD39,""))</f>
        <v/>
      </c>
      <c r="BH39" s="282" t="str">
        <f>IF(ISBLANK(BD39),"",IFERROR((VLOOKUP(BB39,'Food List'!$C:$H,6,FALSE))*BD39,""))</f>
        <v/>
      </c>
      <c r="BI39" s="319"/>
      <c r="BJ39" s="285"/>
      <c r="BK39" s="286"/>
      <c r="BL39" s="279"/>
      <c r="BM39" s="279" t="str">
        <f>IF(ISBLANK(BL39),"",IFERROR((VLOOKUP(BL39,'Food List'!$C:$H,2,FALSE)),""))</f>
        <v/>
      </c>
      <c r="BN39" s="279"/>
      <c r="BO39" s="280" t="str">
        <f>IF(ISBLANK(BN39),"",IFERROR((VLOOKUP(BL39,'Food List'!$C:$H,3,FALSE))*BN39,""))</f>
        <v/>
      </c>
      <c r="BP39" s="281" t="str">
        <f>IF(ISBLANK(BN39),"",IFERROR((VLOOKUP(BL39,'Food List'!$C:$H,4,FALSE))*BN39,""))</f>
        <v/>
      </c>
      <c r="BQ39" s="282" t="str">
        <f>IF(ISBLANK(BN39),"",IFERROR((VLOOKUP(BL39,'Food List'!$C:$H,5,FALSE))*BN39,""))</f>
        <v/>
      </c>
      <c r="BR39" s="282" t="str">
        <f>IF(ISBLANK(BN39),"",IFERROR((VLOOKUP(BL39,'Food List'!$C:$H,6,FALSE))*BN39,""))</f>
        <v/>
      </c>
      <c r="BS39" s="257"/>
    </row>
    <row r="40">
      <c r="A40" s="266"/>
      <c r="B40" s="277"/>
      <c r="C40" s="278"/>
      <c r="D40" s="279"/>
      <c r="E40" s="279" t="str">
        <f>IF(ISBLANK(D40),"",IFERROR((VLOOKUP(D40,'Food List'!$C:$H,2,FALSE)),""))</f>
        <v/>
      </c>
      <c r="F40" s="279"/>
      <c r="G40" s="280" t="str">
        <f>IF(ISBLANK(F40),"",IFERROR((VLOOKUP(D40,'Food List'!$C:$H,3,FALSE))*F40,""))</f>
        <v/>
      </c>
      <c r="H40" s="281" t="str">
        <f>IF(ISBLANK(F40),"",IFERROR((VLOOKUP(D40,'Food List'!$C:$H,4,FALSE))*F40,""))</f>
        <v/>
      </c>
      <c r="I40" s="282" t="str">
        <f>IF(ISBLANK(F40),"",IFERROR((VLOOKUP(D40,'Food List'!$C:$H,5,FALSE))*F40,""))</f>
        <v/>
      </c>
      <c r="J40" s="282" t="str">
        <f>IF(ISBLANK(F40),"",IFERROR((VLOOKUP(D40,'Food List'!$C:$H,6,FALSE))*F40,""))</f>
        <v/>
      </c>
      <c r="K40" s="13"/>
      <c r="L40" s="277"/>
      <c r="M40" s="278"/>
      <c r="N40" s="279"/>
      <c r="O40" s="279" t="str">
        <f>IF(ISBLANK(N40),"",IFERROR((VLOOKUP(N40,'Food List'!$C:$H,2,FALSE)),""))</f>
        <v/>
      </c>
      <c r="P40" s="279"/>
      <c r="Q40" s="280" t="str">
        <f>IF(ISBLANK(P40),"",IFERROR((VLOOKUP(N40,'Food List'!$C:$H,3,FALSE))*P40,""))</f>
        <v/>
      </c>
      <c r="R40" s="281" t="str">
        <f>IF(ISBLANK(P40),"",IFERROR((VLOOKUP(N40,'Food List'!$C:$H,4,FALSE))*P40,""))</f>
        <v/>
      </c>
      <c r="S40" s="282" t="str">
        <f>IF(ISBLANK(P40),"",IFERROR((VLOOKUP(N40,'Food List'!$C:$H,5,FALSE))*P40,""))</f>
        <v/>
      </c>
      <c r="T40" s="282" t="str">
        <f>IF(ISBLANK(P40),"",IFERROR((VLOOKUP(N40,'Food List'!$C:$H,6,FALSE))*P40,""))</f>
        <v/>
      </c>
      <c r="U40" s="13"/>
      <c r="V40" s="277"/>
      <c r="W40" s="278"/>
      <c r="X40" s="279"/>
      <c r="Y40" s="279" t="str">
        <f>IF(ISBLANK(X40),"",IFERROR((VLOOKUP(X40,'Food List'!$C:$H,2,FALSE)),""))</f>
        <v/>
      </c>
      <c r="Z40" s="279"/>
      <c r="AA40" s="280" t="str">
        <f>IF(ISBLANK(Z40),"",IFERROR((VLOOKUP(X40,'Food List'!$C:$H,3,FALSE))*Z40,""))</f>
        <v/>
      </c>
      <c r="AB40" s="281" t="str">
        <f>IF(ISBLANK(Z40),"",IFERROR((VLOOKUP(X40,'Food List'!$C:$H,4,FALSE))*Z40,""))</f>
        <v/>
      </c>
      <c r="AC40" s="282" t="str">
        <f>IF(ISBLANK(Z40),"",IFERROR((VLOOKUP(X40,'Food List'!$C:$H,5,FALSE))*Z40,""))</f>
        <v/>
      </c>
      <c r="AD40" s="282" t="str">
        <f>IF(ISBLANK(Z40),"",IFERROR((VLOOKUP(X40,'Food List'!$C:$H,6,FALSE))*Z40,""))</f>
        <v/>
      </c>
      <c r="AE40" s="13"/>
      <c r="AF40" s="277"/>
      <c r="AG40" s="278"/>
      <c r="AH40" s="279"/>
      <c r="AI40" s="279" t="str">
        <f>IF(ISBLANK(AH40),"",IFERROR((VLOOKUP(AH40,'Food List'!$C:$H,2,FALSE)),""))</f>
        <v/>
      </c>
      <c r="AJ40" s="279"/>
      <c r="AK40" s="280" t="str">
        <f>IF(ISBLANK(AJ40),"",IFERROR((VLOOKUP(AH40,'Food List'!$C:$H,3,FALSE))*AJ40,""))</f>
        <v/>
      </c>
      <c r="AL40" s="281" t="str">
        <f>IF(ISBLANK(AJ40),"",IFERROR((VLOOKUP(AH40,'Food List'!$C:$H,4,FALSE))*AJ40,""))</f>
        <v/>
      </c>
      <c r="AM40" s="282" t="str">
        <f>IF(ISBLANK(AJ40),"",IFERROR((VLOOKUP(AH40,'Food List'!$C:$H,5,FALSE))*AJ40,""))</f>
        <v/>
      </c>
      <c r="AN40" s="282" t="str">
        <f>IF(ISBLANK(AJ40),"",IFERROR((VLOOKUP(AH40,'Food List'!$C:$H,6,FALSE))*AJ40,""))</f>
        <v/>
      </c>
      <c r="AO40" s="13"/>
      <c r="AP40" s="277"/>
      <c r="AQ40" s="278"/>
      <c r="AR40" s="279"/>
      <c r="AS40" s="279" t="str">
        <f>IF(ISBLANK(AR40),"",IFERROR((VLOOKUP(AR40,'Food List'!$C:$H,2,FALSE)),""))</f>
        <v/>
      </c>
      <c r="AT40" s="279"/>
      <c r="AU40" s="280" t="str">
        <f>IF(ISBLANK(AT40),"",IFERROR((VLOOKUP(AR40,'Food List'!$C:$H,3,FALSE))*AT40,""))</f>
        <v/>
      </c>
      <c r="AV40" s="281" t="str">
        <f>IF(ISBLANK(AT40),"",IFERROR((VLOOKUP(AR40,'Food List'!$C:$H,4,FALSE))*AT40,""))</f>
        <v/>
      </c>
      <c r="AW40" s="282" t="str">
        <f>IF(ISBLANK(AT40),"",IFERROR((VLOOKUP(AR40,'Food List'!$C:$H,5,FALSE))*AT40,""))</f>
        <v/>
      </c>
      <c r="AX40" s="282" t="str">
        <f>IF(ISBLANK(AT40),"",IFERROR((VLOOKUP(AR40,'Food List'!$C:$H,6,FALSE))*AT40,""))</f>
        <v/>
      </c>
      <c r="AY40" s="318"/>
      <c r="AZ40" s="277"/>
      <c r="BA40" s="278"/>
      <c r="BB40" s="279"/>
      <c r="BC40" s="279" t="str">
        <f>IF(ISBLANK(BB40),"",IFERROR((VLOOKUP(BB40,'Food List'!$C:$H,2,FALSE)),""))</f>
        <v/>
      </c>
      <c r="BD40" s="279"/>
      <c r="BE40" s="280" t="str">
        <f>IF(ISBLANK(BD40),"",IFERROR((VLOOKUP(BB40,'Food List'!$C:$H,3,FALSE))*BD40,""))</f>
        <v/>
      </c>
      <c r="BF40" s="281" t="str">
        <f>IF(ISBLANK(BD40),"",IFERROR((VLOOKUP(BB40,'Food List'!$C:$H,4,FALSE))*BD40,""))</f>
        <v/>
      </c>
      <c r="BG40" s="282" t="str">
        <f>IF(ISBLANK(BD40),"",IFERROR((VLOOKUP(BB40,'Food List'!$C:$H,5,FALSE))*BD40,""))</f>
        <v/>
      </c>
      <c r="BH40" s="282" t="str">
        <f>IF(ISBLANK(BD40),"",IFERROR((VLOOKUP(BB40,'Food List'!$C:$H,6,FALSE))*BD40,""))</f>
        <v/>
      </c>
      <c r="BI40" s="318"/>
      <c r="BJ40" s="277"/>
      <c r="BK40" s="278"/>
      <c r="BL40" s="279"/>
      <c r="BM40" s="279" t="str">
        <f>IF(ISBLANK(BL40),"",IFERROR((VLOOKUP(BL40,'Food List'!$C:$H,2,FALSE)),""))</f>
        <v/>
      </c>
      <c r="BN40" s="279"/>
      <c r="BO40" s="280" t="str">
        <f>IF(ISBLANK(BN40),"",IFERROR((VLOOKUP(BL40,'Food List'!$C:$H,3,FALSE))*BN40,""))</f>
        <v/>
      </c>
      <c r="BP40" s="281" t="str">
        <f>IF(ISBLANK(BN40),"",IFERROR((VLOOKUP(BL40,'Food List'!$C:$H,4,FALSE))*BN40,""))</f>
        <v/>
      </c>
      <c r="BQ40" s="282" t="str">
        <f>IF(ISBLANK(BN40),"",IFERROR((VLOOKUP(BL40,'Food List'!$C:$H,5,FALSE))*BN40,""))</f>
        <v/>
      </c>
      <c r="BR40" s="282" t="str">
        <f>IF(ISBLANK(BN40),"",IFERROR((VLOOKUP(BL40,'Food List'!$C:$H,6,FALSE))*BN40,""))</f>
        <v/>
      </c>
      <c r="BS40" s="261"/>
    </row>
    <row r="41">
      <c r="A41" s="266"/>
      <c r="B41" s="285"/>
      <c r="C41" s="286"/>
      <c r="D41" s="279"/>
      <c r="E41" s="279" t="str">
        <f>IF(ISBLANK(D41),"",IFERROR((VLOOKUP(D41,'Food List'!$C:$H,2,FALSE)),""))</f>
        <v/>
      </c>
      <c r="F41" s="279"/>
      <c r="G41" s="280" t="str">
        <f>IF(ISBLANK(F41),"",IFERROR((VLOOKUP(D41,'Food List'!$C:$H,3,FALSE))*F41,""))</f>
        <v/>
      </c>
      <c r="H41" s="281" t="str">
        <f>IF(ISBLANK(F41),"",IFERROR((VLOOKUP(D41,'Food List'!$C:$H,4,FALSE))*F41,""))</f>
        <v/>
      </c>
      <c r="I41" s="282" t="str">
        <f>IF(ISBLANK(F41),"",IFERROR((VLOOKUP(D41,'Food List'!$C:$H,5,FALSE))*F41,""))</f>
        <v/>
      </c>
      <c r="J41" s="282" t="str">
        <f>IF(ISBLANK(F41),"",IFERROR((VLOOKUP(D41,'Food List'!$C:$H,6,FALSE))*F41,""))</f>
        <v/>
      </c>
      <c r="K41" s="13"/>
      <c r="L41" s="285"/>
      <c r="M41" s="286"/>
      <c r="N41" s="279"/>
      <c r="O41" s="279" t="str">
        <f>IF(ISBLANK(N41),"",IFERROR((VLOOKUP(N41,'Food List'!$C:$H,2,FALSE)),""))</f>
        <v/>
      </c>
      <c r="P41" s="279"/>
      <c r="Q41" s="280" t="str">
        <f>IF(ISBLANK(P41),"",IFERROR((VLOOKUP(N41,'Food List'!$C:$H,3,FALSE))*P41,""))</f>
        <v/>
      </c>
      <c r="R41" s="281" t="str">
        <f>IF(ISBLANK(P41),"",IFERROR((VLOOKUP(N41,'Food List'!$C:$H,4,FALSE))*P41,""))</f>
        <v/>
      </c>
      <c r="S41" s="282" t="str">
        <f>IF(ISBLANK(P41),"",IFERROR((VLOOKUP(N41,'Food List'!$C:$H,5,FALSE))*P41,""))</f>
        <v/>
      </c>
      <c r="T41" s="282" t="str">
        <f>IF(ISBLANK(P41),"",IFERROR((VLOOKUP(N41,'Food List'!$C:$H,6,FALSE))*P41,""))</f>
        <v/>
      </c>
      <c r="U41" s="13"/>
      <c r="V41" s="285"/>
      <c r="W41" s="286"/>
      <c r="X41" s="279"/>
      <c r="Y41" s="279" t="str">
        <f>IF(ISBLANK(X41),"",IFERROR((VLOOKUP(X41,'Food List'!$C:$H,2,FALSE)),""))</f>
        <v/>
      </c>
      <c r="Z41" s="279"/>
      <c r="AA41" s="280" t="str">
        <f>IF(ISBLANK(Z41),"",IFERROR((VLOOKUP(X41,'Food List'!$C:$H,3,FALSE))*Z41,""))</f>
        <v/>
      </c>
      <c r="AB41" s="281" t="str">
        <f>IF(ISBLANK(Z41),"",IFERROR((VLOOKUP(X41,'Food List'!$C:$H,4,FALSE))*Z41,""))</f>
        <v/>
      </c>
      <c r="AC41" s="282" t="str">
        <f>IF(ISBLANK(Z41),"",IFERROR((VLOOKUP(X41,'Food List'!$C:$H,5,FALSE))*Z41,""))</f>
        <v/>
      </c>
      <c r="AD41" s="282" t="str">
        <f>IF(ISBLANK(Z41),"",IFERROR((VLOOKUP(X41,'Food List'!$C:$H,6,FALSE))*Z41,""))</f>
        <v/>
      </c>
      <c r="AE41" s="13"/>
      <c r="AF41" s="285"/>
      <c r="AG41" s="286"/>
      <c r="AH41" s="279"/>
      <c r="AI41" s="279" t="str">
        <f>IF(ISBLANK(AH41),"",IFERROR((VLOOKUP(AH41,'Food List'!$C:$H,2,FALSE)),""))</f>
        <v/>
      </c>
      <c r="AJ41" s="279"/>
      <c r="AK41" s="280" t="str">
        <f>IF(ISBLANK(AJ41),"",IFERROR((VLOOKUP(AH41,'Food List'!$C:$H,3,FALSE))*AJ41,""))</f>
        <v/>
      </c>
      <c r="AL41" s="281" t="str">
        <f>IF(ISBLANK(AJ41),"",IFERROR((VLOOKUP(AH41,'Food List'!$C:$H,4,FALSE))*AJ41,""))</f>
        <v/>
      </c>
      <c r="AM41" s="282" t="str">
        <f>IF(ISBLANK(AJ41),"",IFERROR((VLOOKUP(AH41,'Food List'!$C:$H,5,FALSE))*AJ41,""))</f>
        <v/>
      </c>
      <c r="AN41" s="282" t="str">
        <f>IF(ISBLANK(AJ41),"",IFERROR((VLOOKUP(AH41,'Food List'!$C:$H,6,FALSE))*AJ41,""))</f>
        <v/>
      </c>
      <c r="AO41" s="13"/>
      <c r="AP41" s="285"/>
      <c r="AQ41" s="286"/>
      <c r="AR41" s="279"/>
      <c r="AS41" s="279" t="str">
        <f>IF(ISBLANK(AR41),"",IFERROR((VLOOKUP(AR41,'Food List'!$C:$H,2,FALSE)),""))</f>
        <v/>
      </c>
      <c r="AT41" s="279"/>
      <c r="AU41" s="280" t="str">
        <f>IF(ISBLANK(AT41),"",IFERROR((VLOOKUP(AR41,'Food List'!$C:$H,3,FALSE))*AT41,""))</f>
        <v/>
      </c>
      <c r="AV41" s="281" t="str">
        <f>IF(ISBLANK(AT41),"",IFERROR((VLOOKUP(AR41,'Food List'!$C:$H,4,FALSE))*AT41,""))</f>
        <v/>
      </c>
      <c r="AW41" s="282" t="str">
        <f>IF(ISBLANK(AT41),"",IFERROR((VLOOKUP(AR41,'Food List'!$C:$H,5,FALSE))*AT41,""))</f>
        <v/>
      </c>
      <c r="AX41" s="282" t="str">
        <f>IF(ISBLANK(AT41),"",IFERROR((VLOOKUP(AR41,'Food List'!$C:$H,6,FALSE))*AT41,""))</f>
        <v/>
      </c>
      <c r="AY41" s="319"/>
      <c r="AZ41" s="285"/>
      <c r="BA41" s="286"/>
      <c r="BB41" s="279"/>
      <c r="BC41" s="279" t="str">
        <f>IF(ISBLANK(BB41),"",IFERROR((VLOOKUP(BB41,'Food List'!$C:$H,2,FALSE)),""))</f>
        <v/>
      </c>
      <c r="BD41" s="279"/>
      <c r="BE41" s="280" t="str">
        <f>IF(ISBLANK(BD41),"",IFERROR((VLOOKUP(BB41,'Food List'!$C:$H,3,FALSE))*BD41,""))</f>
        <v/>
      </c>
      <c r="BF41" s="281" t="str">
        <f>IF(ISBLANK(BD41),"",IFERROR((VLOOKUP(BB41,'Food List'!$C:$H,4,FALSE))*BD41,""))</f>
        <v/>
      </c>
      <c r="BG41" s="282" t="str">
        <f>IF(ISBLANK(BD41),"",IFERROR((VLOOKUP(BB41,'Food List'!$C:$H,5,FALSE))*BD41,""))</f>
        <v/>
      </c>
      <c r="BH41" s="282" t="str">
        <f>IF(ISBLANK(BD41),"",IFERROR((VLOOKUP(BB41,'Food List'!$C:$H,6,FALSE))*BD41,""))</f>
        <v/>
      </c>
      <c r="BI41" s="319"/>
      <c r="BJ41" s="285"/>
      <c r="BK41" s="286"/>
      <c r="BL41" s="279"/>
      <c r="BM41" s="279" t="str">
        <f>IF(ISBLANK(BL41),"",IFERROR((VLOOKUP(BL41,'Food List'!$C:$H,2,FALSE)),""))</f>
        <v/>
      </c>
      <c r="BN41" s="279"/>
      <c r="BO41" s="280" t="str">
        <f>IF(ISBLANK(BN41),"",IFERROR((VLOOKUP(BL41,'Food List'!$C:$H,3,FALSE))*BN41,""))</f>
        <v/>
      </c>
      <c r="BP41" s="281" t="str">
        <f>IF(ISBLANK(BN41),"",IFERROR((VLOOKUP(BL41,'Food List'!$C:$H,4,FALSE))*BN41,""))</f>
        <v/>
      </c>
      <c r="BQ41" s="282" t="str">
        <f>IF(ISBLANK(BN41),"",IFERROR((VLOOKUP(BL41,'Food List'!$C:$H,5,FALSE))*BN41,""))</f>
        <v/>
      </c>
      <c r="BR41" s="282" t="str">
        <f>IF(ISBLANK(BN41),"",IFERROR((VLOOKUP(BL41,'Food List'!$C:$H,6,FALSE))*BN41,""))</f>
        <v/>
      </c>
      <c r="BS41" s="257"/>
    </row>
    <row r="42">
      <c r="A42" s="266"/>
      <c r="B42" s="277"/>
      <c r="C42" s="278"/>
      <c r="D42" s="287"/>
      <c r="E42" s="287" t="str">
        <f>IF(ISBLANK(D42),"",IFERROR((VLOOKUP(D42,'Food List'!$C:$H,2,FALSE)),""))</f>
        <v/>
      </c>
      <c r="F42" s="287"/>
      <c r="G42" s="288" t="str">
        <f>IF(ISBLANK(F42),"",IFERROR((VLOOKUP(D42,'Food List'!$C:$H,3,FALSE))*F42,""))</f>
        <v/>
      </c>
      <c r="H42" s="289" t="str">
        <f>IF(ISBLANK(F42),"",IFERROR((VLOOKUP(D42,'Food List'!$C:$H,4,FALSE))*F42,""))</f>
        <v/>
      </c>
      <c r="I42" s="290" t="str">
        <f>IF(ISBLANK(F42),"",IFERROR((VLOOKUP(D42,'Food List'!$C:$H,5,FALSE))*F42,""))</f>
        <v/>
      </c>
      <c r="J42" s="290" t="str">
        <f>IF(ISBLANK(F42),"",IFERROR((VLOOKUP(D42,'Food List'!$C:$H,6,FALSE))*F42,""))</f>
        <v/>
      </c>
      <c r="K42" s="13"/>
      <c r="L42" s="277"/>
      <c r="M42" s="278"/>
      <c r="N42" s="287"/>
      <c r="O42" s="287" t="str">
        <f>IF(ISBLANK(N42),"",IFERROR((VLOOKUP(N42,'Food List'!$C:$H,2,FALSE)),""))</f>
        <v/>
      </c>
      <c r="P42" s="287"/>
      <c r="Q42" s="288" t="str">
        <f>IF(ISBLANK(P42),"",IFERROR((VLOOKUP(N42,'Food List'!$C:$H,3,FALSE))*P42,""))</f>
        <v/>
      </c>
      <c r="R42" s="289" t="str">
        <f>IF(ISBLANK(P42),"",IFERROR((VLOOKUP(N42,'Food List'!$C:$H,4,FALSE))*P42,""))</f>
        <v/>
      </c>
      <c r="S42" s="290" t="str">
        <f>IF(ISBLANK(P42),"",IFERROR((VLOOKUP(N42,'Food List'!$C:$H,5,FALSE))*P42,""))</f>
        <v/>
      </c>
      <c r="T42" s="290" t="str">
        <f>IF(ISBLANK(P42),"",IFERROR((VLOOKUP(N42,'Food List'!$C:$H,6,FALSE))*P42,""))</f>
        <v/>
      </c>
      <c r="U42" s="13"/>
      <c r="V42" s="277"/>
      <c r="W42" s="278"/>
      <c r="X42" s="287"/>
      <c r="Y42" s="287" t="str">
        <f>IF(ISBLANK(X42),"",IFERROR((VLOOKUP(X42,'Food List'!$C:$H,2,FALSE)),""))</f>
        <v/>
      </c>
      <c r="Z42" s="287"/>
      <c r="AA42" s="288" t="str">
        <f>IF(ISBLANK(Z42),"",IFERROR((VLOOKUP(X42,'Food List'!$C:$H,3,FALSE))*Z42,""))</f>
        <v/>
      </c>
      <c r="AB42" s="289" t="str">
        <f>IF(ISBLANK(Z42),"",IFERROR((VLOOKUP(X42,'Food List'!$C:$H,4,FALSE))*Z42,""))</f>
        <v/>
      </c>
      <c r="AC42" s="290" t="str">
        <f>IF(ISBLANK(Z42),"",IFERROR((VLOOKUP(X42,'Food List'!$C:$H,5,FALSE))*Z42,""))</f>
        <v/>
      </c>
      <c r="AD42" s="290" t="str">
        <f>IF(ISBLANK(Z42),"",IFERROR((VLOOKUP(X42,'Food List'!$C:$H,6,FALSE))*Z42,""))</f>
        <v/>
      </c>
      <c r="AE42" s="13"/>
      <c r="AF42" s="277"/>
      <c r="AG42" s="278"/>
      <c r="AH42" s="287"/>
      <c r="AI42" s="287" t="str">
        <f>IF(ISBLANK(AH42),"",IFERROR((VLOOKUP(AH42,'Food List'!$C:$H,2,FALSE)),""))</f>
        <v/>
      </c>
      <c r="AJ42" s="287"/>
      <c r="AK42" s="288" t="str">
        <f>IF(ISBLANK(AJ42),"",IFERROR((VLOOKUP(AH42,'Food List'!$C:$H,3,FALSE))*AJ42,""))</f>
        <v/>
      </c>
      <c r="AL42" s="289" t="str">
        <f>IF(ISBLANK(AJ42),"",IFERROR((VLOOKUP(AH42,'Food List'!$C:$H,4,FALSE))*AJ42,""))</f>
        <v/>
      </c>
      <c r="AM42" s="290" t="str">
        <f>IF(ISBLANK(AJ42),"",IFERROR((VLOOKUP(AH42,'Food List'!$C:$H,5,FALSE))*AJ42,""))</f>
        <v/>
      </c>
      <c r="AN42" s="290" t="str">
        <f>IF(ISBLANK(AJ42),"",IFERROR((VLOOKUP(AH42,'Food List'!$C:$H,6,FALSE))*AJ42,""))</f>
        <v/>
      </c>
      <c r="AO42" s="13"/>
      <c r="AP42" s="277"/>
      <c r="AQ42" s="278"/>
      <c r="AR42" s="287"/>
      <c r="AS42" s="287" t="str">
        <f>IF(ISBLANK(AR42),"",IFERROR((VLOOKUP(AR42,'Food List'!$C:$H,2,FALSE)),""))</f>
        <v/>
      </c>
      <c r="AT42" s="287"/>
      <c r="AU42" s="288" t="str">
        <f>IF(ISBLANK(AT42),"",IFERROR((VLOOKUP(AR42,'Food List'!$C:$H,3,FALSE))*AT42,""))</f>
        <v/>
      </c>
      <c r="AV42" s="289" t="str">
        <f>IF(ISBLANK(AT42),"",IFERROR((VLOOKUP(AR42,'Food List'!$C:$H,4,FALSE))*AT42,""))</f>
        <v/>
      </c>
      <c r="AW42" s="290" t="str">
        <f>IF(ISBLANK(AT42),"",IFERROR((VLOOKUP(AR42,'Food List'!$C:$H,5,FALSE))*AT42,""))</f>
        <v/>
      </c>
      <c r="AX42" s="290" t="str">
        <f>IF(ISBLANK(AT42),"",IFERROR((VLOOKUP(AR42,'Food List'!$C:$H,6,FALSE))*AT42,""))</f>
        <v/>
      </c>
      <c r="AY42" s="318"/>
      <c r="AZ42" s="277"/>
      <c r="BA42" s="278"/>
      <c r="BB42" s="287"/>
      <c r="BC42" s="287" t="str">
        <f>IF(ISBLANK(BB42),"",IFERROR((VLOOKUP(BB42,'Food List'!$C:$H,2,FALSE)),""))</f>
        <v/>
      </c>
      <c r="BD42" s="287"/>
      <c r="BE42" s="288" t="str">
        <f>IF(ISBLANK(BD42),"",IFERROR((VLOOKUP(BB42,'Food List'!$C:$H,3,FALSE))*BD42,""))</f>
        <v/>
      </c>
      <c r="BF42" s="289" t="str">
        <f>IF(ISBLANK(BD42),"",IFERROR((VLOOKUP(BB42,'Food List'!$C:$H,4,FALSE))*BD42,""))</f>
        <v/>
      </c>
      <c r="BG42" s="290" t="str">
        <f>IF(ISBLANK(BD42),"",IFERROR((VLOOKUP(BB42,'Food List'!$C:$H,5,FALSE))*BD42,""))</f>
        <v/>
      </c>
      <c r="BH42" s="290" t="str">
        <f>IF(ISBLANK(BD42),"",IFERROR((VLOOKUP(BB42,'Food List'!$C:$H,6,FALSE))*BD42,""))</f>
        <v/>
      </c>
      <c r="BI42" s="318"/>
      <c r="BJ42" s="277"/>
      <c r="BK42" s="278"/>
      <c r="BL42" s="287"/>
      <c r="BM42" s="287" t="str">
        <f>IF(ISBLANK(BL42),"",IFERROR((VLOOKUP(BL42,'Food List'!$C:$H,2,FALSE)),""))</f>
        <v/>
      </c>
      <c r="BN42" s="287"/>
      <c r="BO42" s="288" t="str">
        <f>IF(ISBLANK(BN42),"",IFERROR((VLOOKUP(BL42,'Food List'!$C:$H,3,FALSE))*BN42,""))</f>
        <v/>
      </c>
      <c r="BP42" s="289" t="str">
        <f>IF(ISBLANK(BN42),"",IFERROR((VLOOKUP(BL42,'Food List'!$C:$H,4,FALSE))*BN42,""))</f>
        <v/>
      </c>
      <c r="BQ42" s="290" t="str">
        <f>IF(ISBLANK(BN42),"",IFERROR((VLOOKUP(BL42,'Food List'!$C:$H,5,FALSE))*BN42,""))</f>
        <v/>
      </c>
      <c r="BR42" s="290" t="str">
        <f>IF(ISBLANK(BN42),"",IFERROR((VLOOKUP(BL42,'Food List'!$C:$H,6,FALSE))*BN42,""))</f>
        <v/>
      </c>
      <c r="BS42" s="261"/>
    </row>
    <row r="43" ht="18.75" customHeight="1">
      <c r="A43" s="266"/>
      <c r="B43" s="291"/>
      <c r="C43" s="292"/>
      <c r="D43" s="293" t="s">
        <v>594</v>
      </c>
      <c r="E43" s="294"/>
      <c r="F43" s="295"/>
      <c r="G43" s="296">
        <f t="shared" ref="G43:J43" si="29">IFERROR(SUM(G37:G42),0)</f>
        <v>0</v>
      </c>
      <c r="H43" s="296">
        <f t="shared" si="29"/>
        <v>0</v>
      </c>
      <c r="I43" s="296">
        <f t="shared" si="29"/>
        <v>0</v>
      </c>
      <c r="J43" s="296">
        <f t="shared" si="29"/>
        <v>0</v>
      </c>
      <c r="K43" s="13"/>
      <c r="L43" s="291"/>
      <c r="M43" s="292"/>
      <c r="N43" s="293" t="s">
        <v>594</v>
      </c>
      <c r="O43" s="294"/>
      <c r="P43" s="295"/>
      <c r="Q43" s="296">
        <f t="shared" ref="Q43:T43" si="30">IFERROR(SUM(Q37:Q42),0)</f>
        <v>0</v>
      </c>
      <c r="R43" s="296">
        <f t="shared" si="30"/>
        <v>0</v>
      </c>
      <c r="S43" s="296">
        <f t="shared" si="30"/>
        <v>0</v>
      </c>
      <c r="T43" s="296">
        <f t="shared" si="30"/>
        <v>0</v>
      </c>
      <c r="U43" s="13"/>
      <c r="V43" s="291"/>
      <c r="W43" s="292"/>
      <c r="X43" s="293" t="s">
        <v>594</v>
      </c>
      <c r="Y43" s="294"/>
      <c r="Z43" s="295"/>
      <c r="AA43" s="296">
        <f t="shared" ref="AA43:AD43" si="31">IFERROR(SUM(AA37:AA42),0)</f>
        <v>0</v>
      </c>
      <c r="AB43" s="296">
        <f t="shared" si="31"/>
        <v>0</v>
      </c>
      <c r="AC43" s="296">
        <f t="shared" si="31"/>
        <v>0</v>
      </c>
      <c r="AD43" s="296">
        <f t="shared" si="31"/>
        <v>0</v>
      </c>
      <c r="AE43" s="13"/>
      <c r="AF43" s="291"/>
      <c r="AG43" s="292"/>
      <c r="AH43" s="293" t="s">
        <v>594</v>
      </c>
      <c r="AI43" s="294"/>
      <c r="AJ43" s="295"/>
      <c r="AK43" s="296">
        <f t="shared" ref="AK43:AN43" si="32">IFERROR(SUM(AK37:AK42),0)</f>
        <v>0</v>
      </c>
      <c r="AL43" s="296">
        <f t="shared" si="32"/>
        <v>0</v>
      </c>
      <c r="AM43" s="296">
        <f t="shared" si="32"/>
        <v>0</v>
      </c>
      <c r="AN43" s="296">
        <f t="shared" si="32"/>
        <v>0</v>
      </c>
      <c r="AO43" s="13"/>
      <c r="AP43" s="291"/>
      <c r="AQ43" s="292"/>
      <c r="AR43" s="293" t="s">
        <v>594</v>
      </c>
      <c r="AS43" s="294"/>
      <c r="AT43" s="295"/>
      <c r="AU43" s="296">
        <f t="shared" ref="AU43:AX43" si="33">IFERROR(SUM(AU37:AU42),0)</f>
        <v>0</v>
      </c>
      <c r="AV43" s="296">
        <f t="shared" si="33"/>
        <v>0</v>
      </c>
      <c r="AW43" s="296">
        <f t="shared" si="33"/>
        <v>0</v>
      </c>
      <c r="AX43" s="296">
        <f t="shared" si="33"/>
        <v>0</v>
      </c>
      <c r="AY43" s="319"/>
      <c r="AZ43" s="291"/>
      <c r="BA43" s="292"/>
      <c r="BB43" s="293" t="s">
        <v>594</v>
      </c>
      <c r="BC43" s="294"/>
      <c r="BD43" s="295"/>
      <c r="BE43" s="296">
        <f t="shared" ref="BE43:BH43" si="34">IFERROR(SUM(BE37:BE42),0)</f>
        <v>0</v>
      </c>
      <c r="BF43" s="296">
        <f t="shared" si="34"/>
        <v>0</v>
      </c>
      <c r="BG43" s="296">
        <f t="shared" si="34"/>
        <v>0</v>
      </c>
      <c r="BH43" s="296">
        <f t="shared" si="34"/>
        <v>0</v>
      </c>
      <c r="BI43" s="319"/>
      <c r="BJ43" s="291"/>
      <c r="BK43" s="292"/>
      <c r="BL43" s="293" t="s">
        <v>594</v>
      </c>
      <c r="BM43" s="294"/>
      <c r="BN43" s="295"/>
      <c r="BO43" s="296">
        <f t="shared" ref="BO43:BR43" si="35">IFERROR(SUM(BO37:BO42),0)</f>
        <v>0</v>
      </c>
      <c r="BP43" s="296">
        <f t="shared" si="35"/>
        <v>0</v>
      </c>
      <c r="BQ43" s="296">
        <f t="shared" si="35"/>
        <v>0</v>
      </c>
      <c r="BR43" s="296">
        <f t="shared" si="35"/>
        <v>0</v>
      </c>
      <c r="BS43" s="257"/>
    </row>
    <row r="44" ht="7.5" customHeight="1">
      <c r="A44" s="247"/>
      <c r="B44" s="266"/>
      <c r="C44" s="301"/>
      <c r="D44" s="301"/>
      <c r="E44" s="301"/>
      <c r="F44" s="301"/>
      <c r="G44" s="301"/>
      <c r="H44" s="301"/>
      <c r="I44" s="301"/>
      <c r="J44" s="302"/>
      <c r="K44" s="13"/>
      <c r="L44" s="266"/>
      <c r="M44" s="301"/>
      <c r="N44" s="301"/>
      <c r="O44" s="301"/>
      <c r="P44" s="301"/>
      <c r="Q44" s="301"/>
      <c r="R44" s="301"/>
      <c r="S44" s="301"/>
      <c r="T44" s="302"/>
      <c r="U44" s="13"/>
      <c r="V44" s="266"/>
      <c r="W44" s="301"/>
      <c r="X44" s="301"/>
      <c r="Y44" s="301"/>
      <c r="Z44" s="301"/>
      <c r="AA44" s="301"/>
      <c r="AB44" s="301"/>
      <c r="AC44" s="301"/>
      <c r="AD44" s="302"/>
      <c r="AE44" s="13"/>
      <c r="AF44" s="266"/>
      <c r="AG44" s="301"/>
      <c r="AH44" s="301"/>
      <c r="AI44" s="301"/>
      <c r="AJ44" s="301"/>
      <c r="AK44" s="301"/>
      <c r="AL44" s="301"/>
      <c r="AM44" s="301"/>
      <c r="AN44" s="302"/>
      <c r="AO44" s="13"/>
      <c r="AP44" s="266"/>
      <c r="AQ44" s="301"/>
      <c r="AR44" s="301"/>
      <c r="AS44" s="301"/>
      <c r="AT44" s="301"/>
      <c r="AU44" s="301"/>
      <c r="AV44" s="301"/>
      <c r="AW44" s="301"/>
      <c r="AX44" s="302"/>
      <c r="AY44" s="318"/>
      <c r="AZ44" s="266"/>
      <c r="BA44" s="301"/>
      <c r="BB44" s="301"/>
      <c r="BC44" s="301"/>
      <c r="BD44" s="301"/>
      <c r="BE44" s="301"/>
      <c r="BF44" s="301"/>
      <c r="BG44" s="301"/>
      <c r="BH44" s="302"/>
      <c r="BI44" s="318"/>
      <c r="BJ44" s="266"/>
      <c r="BK44" s="301"/>
      <c r="BL44" s="301"/>
      <c r="BM44" s="301"/>
      <c r="BN44" s="301"/>
      <c r="BO44" s="301"/>
      <c r="BP44" s="301"/>
      <c r="BQ44" s="301"/>
      <c r="BR44" s="302"/>
      <c r="BS44" s="261"/>
    </row>
    <row r="45">
      <c r="A45" s="266"/>
      <c r="B45" s="269" t="s">
        <v>606</v>
      </c>
      <c r="C45" s="270"/>
      <c r="D45" s="271"/>
      <c r="E45" s="271" t="str">
        <f>IF(ISBLANK(D45),"",IFERROR((VLOOKUP(D45,'Food List'!$C:$H,2,FALSE)),""))</f>
        <v/>
      </c>
      <c r="F45" s="271"/>
      <c r="G45" s="272" t="str">
        <f>IF(ISBLANK(F45),"",IFERROR((VLOOKUP(D45,'Food List'!$C:$H,3,FALSE))*F45,""))</f>
        <v/>
      </c>
      <c r="H45" s="273" t="str">
        <f>IF(ISBLANK(F45),"",IFERROR((VLOOKUP(D45,'Food List'!$C:$H,4,FALSE))*F45,""))</f>
        <v/>
      </c>
      <c r="I45" s="274" t="str">
        <f>IF(ISBLANK(F45),"",IFERROR((VLOOKUP(D45,'Food List'!$C:$H,5,FALSE))*F45,""))</f>
        <v/>
      </c>
      <c r="J45" s="274" t="str">
        <f>IF(ISBLANK(F45),"",IFERROR((VLOOKUP(D45,'Food List'!$C:$H,6,FALSE))*F45,""))</f>
        <v/>
      </c>
      <c r="K45" s="13"/>
      <c r="L45" s="269" t="s">
        <v>606</v>
      </c>
      <c r="M45" s="270"/>
      <c r="N45" s="271"/>
      <c r="O45" s="271" t="str">
        <f>IF(ISBLANK(N45),"",IFERROR((VLOOKUP(N45,'Food List'!$C:$H,2,FALSE)),""))</f>
        <v/>
      </c>
      <c r="P45" s="271"/>
      <c r="Q45" s="272" t="str">
        <f>IF(ISBLANK(P45),"",IFERROR((VLOOKUP(N45,'Food List'!$C:$H,3,FALSE))*P45,""))</f>
        <v/>
      </c>
      <c r="R45" s="273" t="str">
        <f>IF(ISBLANK(P45),"",IFERROR((VLOOKUP(N45,'Food List'!$C:$H,4,FALSE))*P45,""))</f>
        <v/>
      </c>
      <c r="S45" s="274" t="str">
        <f>IF(ISBLANK(P45),"",IFERROR((VLOOKUP(N45,'Food List'!$C:$H,5,FALSE))*P45,""))</f>
        <v/>
      </c>
      <c r="T45" s="274" t="str">
        <f>IF(ISBLANK(P45),"",IFERROR((VLOOKUP(N45,'Food List'!$C:$H,6,FALSE))*P45,""))</f>
        <v/>
      </c>
      <c r="U45" s="13"/>
      <c r="V45" s="269" t="s">
        <v>606</v>
      </c>
      <c r="W45" s="270"/>
      <c r="X45" s="271"/>
      <c r="Y45" s="271" t="str">
        <f>IF(ISBLANK(X45),"",IFERROR((VLOOKUP(X45,'Food List'!$C:$H,2,FALSE)),""))</f>
        <v/>
      </c>
      <c r="Z45" s="271"/>
      <c r="AA45" s="272" t="str">
        <f>IF(ISBLANK(Z45),"",IFERROR((VLOOKUP(X45,'Food List'!$C:$H,3,FALSE))*Z45,""))</f>
        <v/>
      </c>
      <c r="AB45" s="273" t="str">
        <f>IF(ISBLANK(Z45),"",IFERROR((VLOOKUP(X45,'Food List'!$C:$H,4,FALSE))*Z45,""))</f>
        <v/>
      </c>
      <c r="AC45" s="274" t="str">
        <f>IF(ISBLANK(Z45),"",IFERROR((VLOOKUP(X45,'Food List'!$C:$H,5,FALSE))*Z45,""))</f>
        <v/>
      </c>
      <c r="AD45" s="274" t="str">
        <f>IF(ISBLANK(Z45),"",IFERROR((VLOOKUP(X45,'Food List'!$C:$H,6,FALSE))*Z45,""))</f>
        <v/>
      </c>
      <c r="AE45" s="13"/>
      <c r="AF45" s="269" t="s">
        <v>606</v>
      </c>
      <c r="AG45" s="270"/>
      <c r="AH45" s="271"/>
      <c r="AI45" s="271" t="str">
        <f>IF(ISBLANK(AH45),"",IFERROR((VLOOKUP(AH45,'Food List'!$C:$H,2,FALSE)),""))</f>
        <v/>
      </c>
      <c r="AJ45" s="271"/>
      <c r="AK45" s="272" t="str">
        <f>IF(ISBLANK(AJ45),"",IFERROR((VLOOKUP(AH45,'Food List'!$C:$H,3,FALSE))*AJ45,""))</f>
        <v/>
      </c>
      <c r="AL45" s="273" t="str">
        <f>IF(ISBLANK(AJ45),"",IFERROR((VLOOKUP(AH45,'Food List'!$C:$H,4,FALSE))*AJ45,""))</f>
        <v/>
      </c>
      <c r="AM45" s="274" t="str">
        <f>IF(ISBLANK(AJ45),"",IFERROR((VLOOKUP(AH45,'Food List'!$C:$H,5,FALSE))*AJ45,""))</f>
        <v/>
      </c>
      <c r="AN45" s="274" t="str">
        <f>IF(ISBLANK(AJ45),"",IFERROR((VLOOKUP(AH45,'Food List'!$C:$H,6,FALSE))*AJ45,""))</f>
        <v/>
      </c>
      <c r="AO45" s="13"/>
      <c r="AP45" s="269" t="s">
        <v>606</v>
      </c>
      <c r="AQ45" s="270"/>
      <c r="AR45" s="271"/>
      <c r="AS45" s="271" t="str">
        <f>IF(ISBLANK(AR45),"",IFERROR((VLOOKUP(AR45,'Food List'!$C:$H,2,FALSE)),""))</f>
        <v/>
      </c>
      <c r="AT45" s="271"/>
      <c r="AU45" s="272" t="str">
        <f>IF(ISBLANK(AT45),"",IFERROR((VLOOKUP(AR45,'Food List'!$C:$H,3,FALSE))*AT45,""))</f>
        <v/>
      </c>
      <c r="AV45" s="273" t="str">
        <f>IF(ISBLANK(AT45),"",IFERROR((VLOOKUP(AR45,'Food List'!$C:$H,4,FALSE))*AT45,""))</f>
        <v/>
      </c>
      <c r="AW45" s="274" t="str">
        <f>IF(ISBLANK(AT45),"",IFERROR((VLOOKUP(AR45,'Food List'!$C:$H,5,FALSE))*AT45,""))</f>
        <v/>
      </c>
      <c r="AX45" s="274" t="str">
        <f>IF(ISBLANK(AT45),"",IFERROR((VLOOKUP(AR45,'Food List'!$C:$H,6,FALSE))*AT45,""))</f>
        <v/>
      </c>
      <c r="AY45" s="319"/>
      <c r="AZ45" s="269" t="s">
        <v>606</v>
      </c>
      <c r="BA45" s="270"/>
      <c r="BB45" s="271"/>
      <c r="BC45" s="271" t="str">
        <f>IF(ISBLANK(BB45),"",IFERROR((VLOOKUP(BB45,'Food List'!$C:$H,2,FALSE)),""))</f>
        <v/>
      </c>
      <c r="BD45" s="271"/>
      <c r="BE45" s="272" t="str">
        <f>IF(ISBLANK(BD45),"",IFERROR((VLOOKUP(BB45,'Food List'!$C:$H,3,FALSE))*BD45,""))</f>
        <v/>
      </c>
      <c r="BF45" s="273" t="str">
        <f>IF(ISBLANK(BD45),"",IFERROR((VLOOKUP(BB45,'Food List'!$C:$H,4,FALSE))*BD45,""))</f>
        <v/>
      </c>
      <c r="BG45" s="274" t="str">
        <f>IF(ISBLANK(BD45),"",IFERROR((VLOOKUP(BB45,'Food List'!$C:$H,5,FALSE))*BD45,""))</f>
        <v/>
      </c>
      <c r="BH45" s="274" t="str">
        <f>IF(ISBLANK(BD45),"",IFERROR((VLOOKUP(BB45,'Food List'!$C:$H,6,FALSE))*BD45,""))</f>
        <v/>
      </c>
      <c r="BI45" s="319"/>
      <c r="BJ45" s="269" t="s">
        <v>606</v>
      </c>
      <c r="BK45" s="270"/>
      <c r="BL45" s="271"/>
      <c r="BM45" s="271" t="str">
        <f>IF(ISBLANK(BL45),"",IFERROR((VLOOKUP(BL45,'Food List'!$C:$H,2,FALSE)),""))</f>
        <v/>
      </c>
      <c r="BN45" s="271"/>
      <c r="BO45" s="272" t="str">
        <f>IF(ISBLANK(BN45),"",IFERROR((VLOOKUP(BL45,'Food List'!$C:$H,3,FALSE))*BN45,""))</f>
        <v/>
      </c>
      <c r="BP45" s="273" t="str">
        <f>IF(ISBLANK(BN45),"",IFERROR((VLOOKUP(BL45,'Food List'!$C:$H,4,FALSE))*BN45,""))</f>
        <v/>
      </c>
      <c r="BQ45" s="274" t="str">
        <f>IF(ISBLANK(BN45),"",IFERROR((VLOOKUP(BL45,'Food List'!$C:$H,5,FALSE))*BN45,""))</f>
        <v/>
      </c>
      <c r="BR45" s="274" t="str">
        <f>IF(ISBLANK(BN45),"",IFERROR((VLOOKUP(BL45,'Food List'!$C:$H,6,FALSE))*BN45,""))</f>
        <v/>
      </c>
      <c r="BS45" s="257"/>
    </row>
    <row r="46">
      <c r="A46" s="266"/>
      <c r="B46" s="277"/>
      <c r="C46" s="278"/>
      <c r="D46" s="279"/>
      <c r="E46" s="279" t="str">
        <f>IF(ISBLANK(D46),"",IFERROR((VLOOKUP(D46,'Food List'!$C:$H,2,FALSE)),""))</f>
        <v/>
      </c>
      <c r="F46" s="279"/>
      <c r="G46" s="280" t="str">
        <f>IF(ISBLANK(F46),"",IFERROR((VLOOKUP(D46,'Food List'!$C:$H,3,FALSE))*F46,""))</f>
        <v/>
      </c>
      <c r="H46" s="281" t="str">
        <f>IF(ISBLANK(F46),"",IFERROR((VLOOKUP(D46,'Food List'!$C:$H,4,FALSE))*F46,""))</f>
        <v/>
      </c>
      <c r="I46" s="282" t="str">
        <f>IF(ISBLANK(F46),"",IFERROR((VLOOKUP(D46,'Food List'!$C:$H,5,FALSE))*F46,""))</f>
        <v/>
      </c>
      <c r="J46" s="282" t="str">
        <f>IF(ISBLANK(F46),"",IFERROR((VLOOKUP(D46,'Food List'!$C:$H,6,FALSE))*F46,""))</f>
        <v/>
      </c>
      <c r="K46" s="13"/>
      <c r="L46" s="277"/>
      <c r="M46" s="278"/>
      <c r="N46" s="279"/>
      <c r="O46" s="279" t="str">
        <f>IF(ISBLANK(N46),"",IFERROR((VLOOKUP(N46,'Food List'!$C:$H,2,FALSE)),""))</f>
        <v/>
      </c>
      <c r="P46" s="279"/>
      <c r="Q46" s="280" t="str">
        <f>IF(ISBLANK(P46),"",IFERROR((VLOOKUP(N46,'Food List'!$C:$H,3,FALSE))*P46,""))</f>
        <v/>
      </c>
      <c r="R46" s="281" t="str">
        <f>IF(ISBLANK(P46),"",IFERROR((VLOOKUP(N46,'Food List'!$C:$H,4,FALSE))*P46,""))</f>
        <v/>
      </c>
      <c r="S46" s="282" t="str">
        <f>IF(ISBLANK(P46),"",IFERROR((VLOOKUP(N46,'Food List'!$C:$H,5,FALSE))*P46,""))</f>
        <v/>
      </c>
      <c r="T46" s="282" t="str">
        <f>IF(ISBLANK(P46),"",IFERROR((VLOOKUP(N46,'Food List'!$C:$H,6,FALSE))*P46,""))</f>
        <v/>
      </c>
      <c r="U46" s="13"/>
      <c r="V46" s="277"/>
      <c r="W46" s="278"/>
      <c r="X46" s="279"/>
      <c r="Y46" s="279" t="str">
        <f>IF(ISBLANK(X46),"",IFERROR((VLOOKUP(X46,'Food List'!$C:$H,2,FALSE)),""))</f>
        <v/>
      </c>
      <c r="Z46" s="279"/>
      <c r="AA46" s="280" t="str">
        <f>IF(ISBLANK(Z46),"",IFERROR((VLOOKUP(X46,'Food List'!$C:$H,3,FALSE))*Z46,""))</f>
        <v/>
      </c>
      <c r="AB46" s="281" t="str">
        <f>IF(ISBLANK(Z46),"",IFERROR((VLOOKUP(X46,'Food List'!$C:$H,4,FALSE))*Z46,""))</f>
        <v/>
      </c>
      <c r="AC46" s="282" t="str">
        <f>IF(ISBLANK(Z46),"",IFERROR((VLOOKUP(X46,'Food List'!$C:$H,5,FALSE))*Z46,""))</f>
        <v/>
      </c>
      <c r="AD46" s="282" t="str">
        <f>IF(ISBLANK(Z46),"",IFERROR((VLOOKUP(X46,'Food List'!$C:$H,6,FALSE))*Z46,""))</f>
        <v/>
      </c>
      <c r="AE46" s="13"/>
      <c r="AF46" s="277"/>
      <c r="AG46" s="278"/>
      <c r="AH46" s="279"/>
      <c r="AI46" s="279" t="str">
        <f>IF(ISBLANK(AH46),"",IFERROR((VLOOKUP(AH46,'Food List'!$C:$H,2,FALSE)),""))</f>
        <v/>
      </c>
      <c r="AJ46" s="279"/>
      <c r="AK46" s="280" t="str">
        <f>IF(ISBLANK(AJ46),"",IFERROR((VLOOKUP(AH46,'Food List'!$C:$H,3,FALSE))*AJ46,""))</f>
        <v/>
      </c>
      <c r="AL46" s="281" t="str">
        <f>IF(ISBLANK(AJ46),"",IFERROR((VLOOKUP(AH46,'Food List'!$C:$H,4,FALSE))*AJ46,""))</f>
        <v/>
      </c>
      <c r="AM46" s="282" t="str">
        <f>IF(ISBLANK(AJ46),"",IFERROR((VLOOKUP(AH46,'Food List'!$C:$H,5,FALSE))*AJ46,""))</f>
        <v/>
      </c>
      <c r="AN46" s="282" t="str">
        <f>IF(ISBLANK(AJ46),"",IFERROR((VLOOKUP(AH46,'Food List'!$C:$H,6,FALSE))*AJ46,""))</f>
        <v/>
      </c>
      <c r="AO46" s="13"/>
      <c r="AP46" s="277"/>
      <c r="AQ46" s="278"/>
      <c r="AR46" s="279"/>
      <c r="AS46" s="279" t="str">
        <f>IF(ISBLANK(AR46),"",IFERROR((VLOOKUP(AR46,'Food List'!$C:$H,2,FALSE)),""))</f>
        <v/>
      </c>
      <c r="AT46" s="279"/>
      <c r="AU46" s="280" t="str">
        <f>IF(ISBLANK(AT46),"",IFERROR((VLOOKUP(AR46,'Food List'!$C:$H,3,FALSE))*AT46,""))</f>
        <v/>
      </c>
      <c r="AV46" s="281" t="str">
        <f>IF(ISBLANK(AT46),"",IFERROR((VLOOKUP(AR46,'Food List'!$C:$H,4,FALSE))*AT46,""))</f>
        <v/>
      </c>
      <c r="AW46" s="282" t="str">
        <f>IF(ISBLANK(AT46),"",IFERROR((VLOOKUP(AR46,'Food List'!$C:$H,5,FALSE))*AT46,""))</f>
        <v/>
      </c>
      <c r="AX46" s="282" t="str">
        <f>IF(ISBLANK(AT46),"",IFERROR((VLOOKUP(AR46,'Food List'!$C:$H,6,FALSE))*AT46,""))</f>
        <v/>
      </c>
      <c r="AY46" s="318"/>
      <c r="AZ46" s="277"/>
      <c r="BA46" s="278"/>
      <c r="BB46" s="279"/>
      <c r="BC46" s="279" t="str">
        <f>IF(ISBLANK(BB46),"",IFERROR((VLOOKUP(BB46,'Food List'!$C:$H,2,FALSE)),""))</f>
        <v/>
      </c>
      <c r="BD46" s="279"/>
      <c r="BE46" s="280" t="str">
        <f>IF(ISBLANK(BD46),"",IFERROR((VLOOKUP(BB46,'Food List'!$C:$H,3,FALSE))*BD46,""))</f>
        <v/>
      </c>
      <c r="BF46" s="281" t="str">
        <f>IF(ISBLANK(BD46),"",IFERROR((VLOOKUP(BB46,'Food List'!$C:$H,4,FALSE))*BD46,""))</f>
        <v/>
      </c>
      <c r="BG46" s="282" t="str">
        <f>IF(ISBLANK(BD46),"",IFERROR((VLOOKUP(BB46,'Food List'!$C:$H,5,FALSE))*BD46,""))</f>
        <v/>
      </c>
      <c r="BH46" s="282" t="str">
        <f>IF(ISBLANK(BD46),"",IFERROR((VLOOKUP(BB46,'Food List'!$C:$H,6,FALSE))*BD46,""))</f>
        <v/>
      </c>
      <c r="BI46" s="318"/>
      <c r="BJ46" s="277"/>
      <c r="BK46" s="278"/>
      <c r="BL46" s="279"/>
      <c r="BM46" s="279" t="str">
        <f>IF(ISBLANK(BL46),"",IFERROR((VLOOKUP(BL46,'Food List'!$C:$H,2,FALSE)),""))</f>
        <v/>
      </c>
      <c r="BN46" s="279"/>
      <c r="BO46" s="280" t="str">
        <f>IF(ISBLANK(BN46),"",IFERROR((VLOOKUP(BL46,'Food List'!$C:$H,3,FALSE))*BN46,""))</f>
        <v/>
      </c>
      <c r="BP46" s="281" t="str">
        <f>IF(ISBLANK(BN46),"",IFERROR((VLOOKUP(BL46,'Food List'!$C:$H,4,FALSE))*BN46,""))</f>
        <v/>
      </c>
      <c r="BQ46" s="282" t="str">
        <f>IF(ISBLANK(BN46),"",IFERROR((VLOOKUP(BL46,'Food List'!$C:$H,5,FALSE))*BN46,""))</f>
        <v/>
      </c>
      <c r="BR46" s="282" t="str">
        <f>IF(ISBLANK(BN46),"",IFERROR((VLOOKUP(BL46,'Food List'!$C:$H,6,FALSE))*BN46,""))</f>
        <v/>
      </c>
      <c r="BS46" s="261"/>
    </row>
    <row r="47">
      <c r="A47" s="266"/>
      <c r="B47" s="285"/>
      <c r="C47" s="286"/>
      <c r="D47" s="279"/>
      <c r="E47" s="279" t="str">
        <f>IF(ISBLANK(D47),"",IFERROR((VLOOKUP(D47,'Food List'!$C:$H,2,FALSE)),""))</f>
        <v/>
      </c>
      <c r="F47" s="279"/>
      <c r="G47" s="280" t="str">
        <f>IF(ISBLANK(F47),"",IFERROR((VLOOKUP(D47,'Food List'!$C:$H,3,FALSE))*F47,""))</f>
        <v/>
      </c>
      <c r="H47" s="281" t="str">
        <f>IF(ISBLANK(F47),"",IFERROR((VLOOKUP(D47,'Food List'!$C:$H,4,FALSE))*F47,""))</f>
        <v/>
      </c>
      <c r="I47" s="282" t="str">
        <f>IF(ISBLANK(F47),"",IFERROR((VLOOKUP(D47,'Food List'!$C:$H,5,FALSE))*F47,""))</f>
        <v/>
      </c>
      <c r="J47" s="282" t="str">
        <f>IF(ISBLANK(F47),"",IFERROR((VLOOKUP(D47,'Food List'!$C:$H,6,FALSE))*F47,""))</f>
        <v/>
      </c>
      <c r="K47" s="13"/>
      <c r="L47" s="285"/>
      <c r="M47" s="286"/>
      <c r="N47" s="279"/>
      <c r="O47" s="279" t="str">
        <f>IF(ISBLANK(N47),"",IFERROR((VLOOKUP(N47,'Food List'!$C:$H,2,FALSE)),""))</f>
        <v/>
      </c>
      <c r="P47" s="279"/>
      <c r="Q47" s="280" t="str">
        <f>IF(ISBLANK(P47),"",IFERROR((VLOOKUP(N47,'Food List'!$C:$H,3,FALSE))*P47,""))</f>
        <v/>
      </c>
      <c r="R47" s="281" t="str">
        <f>IF(ISBLANK(P47),"",IFERROR((VLOOKUP(N47,'Food List'!$C:$H,4,FALSE))*P47,""))</f>
        <v/>
      </c>
      <c r="S47" s="282" t="str">
        <f>IF(ISBLANK(P47),"",IFERROR((VLOOKUP(N47,'Food List'!$C:$H,5,FALSE))*P47,""))</f>
        <v/>
      </c>
      <c r="T47" s="282" t="str">
        <f>IF(ISBLANK(P47),"",IFERROR((VLOOKUP(N47,'Food List'!$C:$H,6,FALSE))*P47,""))</f>
        <v/>
      </c>
      <c r="U47" s="13"/>
      <c r="V47" s="285"/>
      <c r="W47" s="286"/>
      <c r="X47" s="279"/>
      <c r="Y47" s="279" t="str">
        <f>IF(ISBLANK(X47),"",IFERROR((VLOOKUP(X47,'Food List'!$C:$H,2,FALSE)),""))</f>
        <v/>
      </c>
      <c r="Z47" s="279"/>
      <c r="AA47" s="280" t="str">
        <f>IF(ISBLANK(Z47),"",IFERROR((VLOOKUP(X47,'Food List'!$C:$H,3,FALSE))*Z47,""))</f>
        <v/>
      </c>
      <c r="AB47" s="281" t="str">
        <f>IF(ISBLANK(Z47),"",IFERROR((VLOOKUP(X47,'Food List'!$C:$H,4,FALSE))*Z47,""))</f>
        <v/>
      </c>
      <c r="AC47" s="282" t="str">
        <f>IF(ISBLANK(Z47),"",IFERROR((VLOOKUP(X47,'Food List'!$C:$H,5,FALSE))*Z47,""))</f>
        <v/>
      </c>
      <c r="AD47" s="282" t="str">
        <f>IF(ISBLANK(Z47),"",IFERROR((VLOOKUP(X47,'Food List'!$C:$H,6,FALSE))*Z47,""))</f>
        <v/>
      </c>
      <c r="AE47" s="13"/>
      <c r="AF47" s="285"/>
      <c r="AG47" s="286"/>
      <c r="AH47" s="279"/>
      <c r="AI47" s="279" t="str">
        <f>IF(ISBLANK(AH47),"",IFERROR((VLOOKUP(AH47,'Food List'!$C:$H,2,FALSE)),""))</f>
        <v/>
      </c>
      <c r="AJ47" s="279"/>
      <c r="AK47" s="280" t="str">
        <f>IF(ISBLANK(AJ47),"",IFERROR((VLOOKUP(AH47,'Food List'!$C:$H,3,FALSE))*AJ47,""))</f>
        <v/>
      </c>
      <c r="AL47" s="281" t="str">
        <f>IF(ISBLANK(AJ47),"",IFERROR((VLOOKUP(AH47,'Food List'!$C:$H,4,FALSE))*AJ47,""))</f>
        <v/>
      </c>
      <c r="AM47" s="282" t="str">
        <f>IF(ISBLANK(AJ47),"",IFERROR((VLOOKUP(AH47,'Food List'!$C:$H,5,FALSE))*AJ47,""))</f>
        <v/>
      </c>
      <c r="AN47" s="282" t="str">
        <f>IF(ISBLANK(AJ47),"",IFERROR((VLOOKUP(AH47,'Food List'!$C:$H,6,FALSE))*AJ47,""))</f>
        <v/>
      </c>
      <c r="AO47" s="13"/>
      <c r="AP47" s="285"/>
      <c r="AQ47" s="286"/>
      <c r="AR47" s="279"/>
      <c r="AS47" s="279" t="str">
        <f>IF(ISBLANK(AR47),"",IFERROR((VLOOKUP(AR47,'Food List'!$C:$H,2,FALSE)),""))</f>
        <v/>
      </c>
      <c r="AT47" s="279"/>
      <c r="AU47" s="280" t="str">
        <f>IF(ISBLANK(AT47),"",IFERROR((VLOOKUP(AR47,'Food List'!$C:$H,3,FALSE))*AT47,""))</f>
        <v/>
      </c>
      <c r="AV47" s="281" t="str">
        <f>IF(ISBLANK(AT47),"",IFERROR((VLOOKUP(AR47,'Food List'!$C:$H,4,FALSE))*AT47,""))</f>
        <v/>
      </c>
      <c r="AW47" s="282" t="str">
        <f>IF(ISBLANK(AT47),"",IFERROR((VLOOKUP(AR47,'Food List'!$C:$H,5,FALSE))*AT47,""))</f>
        <v/>
      </c>
      <c r="AX47" s="282" t="str">
        <f>IF(ISBLANK(AT47),"",IFERROR((VLOOKUP(AR47,'Food List'!$C:$H,6,FALSE))*AT47,""))</f>
        <v/>
      </c>
      <c r="AY47" s="319"/>
      <c r="AZ47" s="285"/>
      <c r="BA47" s="286"/>
      <c r="BB47" s="279"/>
      <c r="BC47" s="279" t="str">
        <f>IF(ISBLANK(BB47),"",IFERROR((VLOOKUP(BB47,'Food List'!$C:$H,2,FALSE)),""))</f>
        <v/>
      </c>
      <c r="BD47" s="279"/>
      <c r="BE47" s="280" t="str">
        <f>IF(ISBLANK(BD47),"",IFERROR((VLOOKUP(BB47,'Food List'!$C:$H,3,FALSE))*BD47,""))</f>
        <v/>
      </c>
      <c r="BF47" s="281" t="str">
        <f>IF(ISBLANK(BD47),"",IFERROR((VLOOKUP(BB47,'Food List'!$C:$H,4,FALSE))*BD47,""))</f>
        <v/>
      </c>
      <c r="BG47" s="282" t="str">
        <f>IF(ISBLANK(BD47),"",IFERROR((VLOOKUP(BB47,'Food List'!$C:$H,5,FALSE))*BD47,""))</f>
        <v/>
      </c>
      <c r="BH47" s="282" t="str">
        <f>IF(ISBLANK(BD47),"",IFERROR((VLOOKUP(BB47,'Food List'!$C:$H,6,FALSE))*BD47,""))</f>
        <v/>
      </c>
      <c r="BI47" s="319"/>
      <c r="BJ47" s="285"/>
      <c r="BK47" s="286"/>
      <c r="BL47" s="279"/>
      <c r="BM47" s="279" t="str">
        <f>IF(ISBLANK(BL47),"",IFERROR((VLOOKUP(BL47,'Food List'!$C:$H,2,FALSE)),""))</f>
        <v/>
      </c>
      <c r="BN47" s="279"/>
      <c r="BO47" s="280" t="str">
        <f>IF(ISBLANK(BN47),"",IFERROR((VLOOKUP(BL47,'Food List'!$C:$H,3,FALSE))*BN47,""))</f>
        <v/>
      </c>
      <c r="BP47" s="281" t="str">
        <f>IF(ISBLANK(BN47),"",IFERROR((VLOOKUP(BL47,'Food List'!$C:$H,4,FALSE))*BN47,""))</f>
        <v/>
      </c>
      <c r="BQ47" s="282" t="str">
        <f>IF(ISBLANK(BN47),"",IFERROR((VLOOKUP(BL47,'Food List'!$C:$H,5,FALSE))*BN47,""))</f>
        <v/>
      </c>
      <c r="BR47" s="282" t="str">
        <f>IF(ISBLANK(BN47),"",IFERROR((VLOOKUP(BL47,'Food List'!$C:$H,6,FALSE))*BN47,""))</f>
        <v/>
      </c>
      <c r="BS47" s="257"/>
    </row>
    <row r="48">
      <c r="A48" s="266"/>
      <c r="B48" s="277"/>
      <c r="C48" s="278"/>
      <c r="D48" s="279"/>
      <c r="E48" s="279" t="str">
        <f>IF(ISBLANK(D48),"",IFERROR((VLOOKUP(D48,'Food List'!$C:$H,2,FALSE)),""))</f>
        <v/>
      </c>
      <c r="F48" s="279"/>
      <c r="G48" s="280" t="str">
        <f>IF(ISBLANK(F48),"",IFERROR((VLOOKUP(D48,'Food List'!$C:$H,3,FALSE))*F48,""))</f>
        <v/>
      </c>
      <c r="H48" s="281" t="str">
        <f>IF(ISBLANK(F48),"",IFERROR((VLOOKUP(D48,'Food List'!$C:$H,4,FALSE))*F48,""))</f>
        <v/>
      </c>
      <c r="I48" s="282" t="str">
        <f>IF(ISBLANK(F48),"",IFERROR((VLOOKUP(D48,'Food List'!$C:$H,5,FALSE))*F48,""))</f>
        <v/>
      </c>
      <c r="J48" s="282" t="str">
        <f>IF(ISBLANK(F48),"",IFERROR((VLOOKUP(D48,'Food List'!$C:$H,6,FALSE))*F48,""))</f>
        <v/>
      </c>
      <c r="K48" s="13"/>
      <c r="L48" s="277"/>
      <c r="M48" s="278"/>
      <c r="N48" s="279"/>
      <c r="O48" s="279" t="str">
        <f>IF(ISBLANK(N48),"",IFERROR((VLOOKUP(N48,'Food List'!$C:$H,2,FALSE)),""))</f>
        <v/>
      </c>
      <c r="P48" s="279"/>
      <c r="Q48" s="280" t="str">
        <f>IF(ISBLANK(P48),"",IFERROR((VLOOKUP(N48,'Food List'!$C:$H,3,FALSE))*P48,""))</f>
        <v/>
      </c>
      <c r="R48" s="281" t="str">
        <f>IF(ISBLANK(P48),"",IFERROR((VLOOKUP(N48,'Food List'!$C:$H,4,FALSE))*P48,""))</f>
        <v/>
      </c>
      <c r="S48" s="282" t="str">
        <f>IF(ISBLANK(P48),"",IFERROR((VLOOKUP(N48,'Food List'!$C:$H,5,FALSE))*P48,""))</f>
        <v/>
      </c>
      <c r="T48" s="282" t="str">
        <f>IF(ISBLANK(P48),"",IFERROR((VLOOKUP(N48,'Food List'!$C:$H,6,FALSE))*P48,""))</f>
        <v/>
      </c>
      <c r="U48" s="13"/>
      <c r="V48" s="277"/>
      <c r="W48" s="278"/>
      <c r="X48" s="279"/>
      <c r="Y48" s="279" t="str">
        <f>IF(ISBLANK(X48),"",IFERROR((VLOOKUP(X48,'Food List'!$C:$H,2,FALSE)),""))</f>
        <v/>
      </c>
      <c r="Z48" s="279"/>
      <c r="AA48" s="280" t="str">
        <f>IF(ISBLANK(Z48),"",IFERROR((VLOOKUP(X48,'Food List'!$C:$H,3,FALSE))*Z48,""))</f>
        <v/>
      </c>
      <c r="AB48" s="281" t="str">
        <f>IF(ISBLANK(Z48),"",IFERROR((VLOOKUP(X48,'Food List'!$C:$H,4,FALSE))*Z48,""))</f>
        <v/>
      </c>
      <c r="AC48" s="282" t="str">
        <f>IF(ISBLANK(Z48),"",IFERROR((VLOOKUP(X48,'Food List'!$C:$H,5,FALSE))*Z48,""))</f>
        <v/>
      </c>
      <c r="AD48" s="282" t="str">
        <f>IF(ISBLANK(Z48),"",IFERROR((VLOOKUP(X48,'Food List'!$C:$H,6,FALSE))*Z48,""))</f>
        <v/>
      </c>
      <c r="AE48" s="13"/>
      <c r="AF48" s="277"/>
      <c r="AG48" s="278"/>
      <c r="AH48" s="279"/>
      <c r="AI48" s="279" t="str">
        <f>IF(ISBLANK(AH48),"",IFERROR((VLOOKUP(AH48,'Food List'!$C:$H,2,FALSE)),""))</f>
        <v/>
      </c>
      <c r="AJ48" s="279"/>
      <c r="AK48" s="280" t="str">
        <f>IF(ISBLANK(AJ48),"",IFERROR((VLOOKUP(AH48,'Food List'!$C:$H,3,FALSE))*AJ48,""))</f>
        <v/>
      </c>
      <c r="AL48" s="281" t="str">
        <f>IF(ISBLANK(AJ48),"",IFERROR((VLOOKUP(AH48,'Food List'!$C:$H,4,FALSE))*AJ48,""))</f>
        <v/>
      </c>
      <c r="AM48" s="282" t="str">
        <f>IF(ISBLANK(AJ48),"",IFERROR((VLOOKUP(AH48,'Food List'!$C:$H,5,FALSE))*AJ48,""))</f>
        <v/>
      </c>
      <c r="AN48" s="282" t="str">
        <f>IF(ISBLANK(AJ48),"",IFERROR((VLOOKUP(AH48,'Food List'!$C:$H,6,FALSE))*AJ48,""))</f>
        <v/>
      </c>
      <c r="AO48" s="13"/>
      <c r="AP48" s="277"/>
      <c r="AQ48" s="278"/>
      <c r="AR48" s="279"/>
      <c r="AS48" s="279" t="str">
        <f>IF(ISBLANK(AR48),"",IFERROR((VLOOKUP(AR48,'Food List'!$C:$H,2,FALSE)),""))</f>
        <v/>
      </c>
      <c r="AT48" s="279"/>
      <c r="AU48" s="280" t="str">
        <f>IF(ISBLANK(AT48),"",IFERROR((VLOOKUP(AR48,'Food List'!$C:$H,3,FALSE))*AT48,""))</f>
        <v/>
      </c>
      <c r="AV48" s="281" t="str">
        <f>IF(ISBLANK(AT48),"",IFERROR((VLOOKUP(AR48,'Food List'!$C:$H,4,FALSE))*AT48,""))</f>
        <v/>
      </c>
      <c r="AW48" s="282" t="str">
        <f>IF(ISBLANK(AT48),"",IFERROR((VLOOKUP(AR48,'Food List'!$C:$H,5,FALSE))*AT48,""))</f>
        <v/>
      </c>
      <c r="AX48" s="282" t="str">
        <f>IF(ISBLANK(AT48),"",IFERROR((VLOOKUP(AR48,'Food List'!$C:$H,6,FALSE))*AT48,""))</f>
        <v/>
      </c>
      <c r="AY48" s="318"/>
      <c r="AZ48" s="277"/>
      <c r="BA48" s="278"/>
      <c r="BB48" s="279"/>
      <c r="BC48" s="279" t="str">
        <f>IF(ISBLANK(BB48),"",IFERROR((VLOOKUP(BB48,'Food List'!$C:$H,2,FALSE)),""))</f>
        <v/>
      </c>
      <c r="BD48" s="279"/>
      <c r="BE48" s="280" t="str">
        <f>IF(ISBLANK(BD48),"",IFERROR((VLOOKUP(BB48,'Food List'!$C:$H,3,FALSE))*BD48,""))</f>
        <v/>
      </c>
      <c r="BF48" s="281" t="str">
        <f>IF(ISBLANK(BD48),"",IFERROR((VLOOKUP(BB48,'Food List'!$C:$H,4,FALSE))*BD48,""))</f>
        <v/>
      </c>
      <c r="BG48" s="282" t="str">
        <f>IF(ISBLANK(BD48),"",IFERROR((VLOOKUP(BB48,'Food List'!$C:$H,5,FALSE))*BD48,""))</f>
        <v/>
      </c>
      <c r="BH48" s="282" t="str">
        <f>IF(ISBLANK(BD48),"",IFERROR((VLOOKUP(BB48,'Food List'!$C:$H,6,FALSE))*BD48,""))</f>
        <v/>
      </c>
      <c r="BI48" s="318"/>
      <c r="BJ48" s="277"/>
      <c r="BK48" s="278"/>
      <c r="BL48" s="279"/>
      <c r="BM48" s="279" t="str">
        <f>IF(ISBLANK(BL48),"",IFERROR((VLOOKUP(BL48,'Food List'!$C:$H,2,FALSE)),""))</f>
        <v/>
      </c>
      <c r="BN48" s="279"/>
      <c r="BO48" s="280" t="str">
        <f>IF(ISBLANK(BN48),"",IFERROR((VLOOKUP(BL48,'Food List'!$C:$H,3,FALSE))*BN48,""))</f>
        <v/>
      </c>
      <c r="BP48" s="281" t="str">
        <f>IF(ISBLANK(BN48),"",IFERROR((VLOOKUP(BL48,'Food List'!$C:$H,4,FALSE))*BN48,""))</f>
        <v/>
      </c>
      <c r="BQ48" s="282" t="str">
        <f>IF(ISBLANK(BN48),"",IFERROR((VLOOKUP(BL48,'Food List'!$C:$H,5,FALSE))*BN48,""))</f>
        <v/>
      </c>
      <c r="BR48" s="282" t="str">
        <f>IF(ISBLANK(BN48),"",IFERROR((VLOOKUP(BL48,'Food List'!$C:$H,6,FALSE))*BN48,""))</f>
        <v/>
      </c>
      <c r="BS48" s="261"/>
    </row>
    <row r="49">
      <c r="A49" s="266"/>
      <c r="B49" s="285"/>
      <c r="C49" s="286"/>
      <c r="D49" s="279"/>
      <c r="E49" s="279" t="str">
        <f>IF(ISBLANK(D49),"",IFERROR((VLOOKUP(D49,'Food List'!$C:$H,2,FALSE)),""))</f>
        <v/>
      </c>
      <c r="F49" s="279"/>
      <c r="G49" s="280" t="str">
        <f>IF(ISBLANK(F49),"",IFERROR((VLOOKUP(D49,'Food List'!$C:$H,3,FALSE))*F49,""))</f>
        <v/>
      </c>
      <c r="H49" s="281" t="str">
        <f>IF(ISBLANK(F49),"",IFERROR((VLOOKUP(D49,'Food List'!$C:$H,4,FALSE))*F49,""))</f>
        <v/>
      </c>
      <c r="I49" s="282" t="str">
        <f>IF(ISBLANK(F49),"",IFERROR((VLOOKUP(D49,'Food List'!$C:$H,5,FALSE))*F49,""))</f>
        <v/>
      </c>
      <c r="J49" s="282" t="str">
        <f>IF(ISBLANK(F49),"",IFERROR((VLOOKUP(D49,'Food List'!$C:$H,6,FALSE))*F49,""))</f>
        <v/>
      </c>
      <c r="K49" s="13"/>
      <c r="L49" s="285"/>
      <c r="M49" s="286"/>
      <c r="N49" s="279"/>
      <c r="O49" s="279" t="str">
        <f>IF(ISBLANK(N49),"",IFERROR((VLOOKUP(N49,'Food List'!$C:$H,2,FALSE)),""))</f>
        <v/>
      </c>
      <c r="P49" s="279"/>
      <c r="Q49" s="280" t="str">
        <f>IF(ISBLANK(P49),"",IFERROR((VLOOKUP(N49,'Food List'!$C:$H,3,FALSE))*P49,""))</f>
        <v/>
      </c>
      <c r="R49" s="281" t="str">
        <f>IF(ISBLANK(P49),"",IFERROR((VLOOKUP(N49,'Food List'!$C:$H,4,FALSE))*P49,""))</f>
        <v/>
      </c>
      <c r="S49" s="282" t="str">
        <f>IF(ISBLANK(P49),"",IFERROR((VLOOKUP(N49,'Food List'!$C:$H,5,FALSE))*P49,""))</f>
        <v/>
      </c>
      <c r="T49" s="282" t="str">
        <f>IF(ISBLANK(P49),"",IFERROR((VLOOKUP(N49,'Food List'!$C:$H,6,FALSE))*P49,""))</f>
        <v/>
      </c>
      <c r="U49" s="13"/>
      <c r="V49" s="285"/>
      <c r="W49" s="286"/>
      <c r="X49" s="279"/>
      <c r="Y49" s="279" t="str">
        <f>IF(ISBLANK(X49),"",IFERROR((VLOOKUP(X49,'Food List'!$C:$H,2,FALSE)),""))</f>
        <v/>
      </c>
      <c r="Z49" s="279"/>
      <c r="AA49" s="280" t="str">
        <f>IF(ISBLANK(Z49),"",IFERROR((VLOOKUP(X49,'Food List'!$C:$H,3,FALSE))*Z49,""))</f>
        <v/>
      </c>
      <c r="AB49" s="281" t="str">
        <f>IF(ISBLANK(Z49),"",IFERROR((VLOOKUP(X49,'Food List'!$C:$H,4,FALSE))*Z49,""))</f>
        <v/>
      </c>
      <c r="AC49" s="282" t="str">
        <f>IF(ISBLANK(Z49),"",IFERROR((VLOOKUP(X49,'Food List'!$C:$H,5,FALSE))*Z49,""))</f>
        <v/>
      </c>
      <c r="AD49" s="282" t="str">
        <f>IF(ISBLANK(Z49),"",IFERROR((VLOOKUP(X49,'Food List'!$C:$H,6,FALSE))*Z49,""))</f>
        <v/>
      </c>
      <c r="AE49" s="13"/>
      <c r="AF49" s="285"/>
      <c r="AG49" s="286"/>
      <c r="AH49" s="279"/>
      <c r="AI49" s="279" t="str">
        <f>IF(ISBLANK(AH49),"",IFERROR((VLOOKUP(AH49,'Food List'!$C:$H,2,FALSE)),""))</f>
        <v/>
      </c>
      <c r="AJ49" s="279"/>
      <c r="AK49" s="280" t="str">
        <f>IF(ISBLANK(AJ49),"",IFERROR((VLOOKUP(AH49,'Food List'!$C:$H,3,FALSE))*AJ49,""))</f>
        <v/>
      </c>
      <c r="AL49" s="281" t="str">
        <f>IF(ISBLANK(AJ49),"",IFERROR((VLOOKUP(AH49,'Food List'!$C:$H,4,FALSE))*AJ49,""))</f>
        <v/>
      </c>
      <c r="AM49" s="282" t="str">
        <f>IF(ISBLANK(AJ49),"",IFERROR((VLOOKUP(AH49,'Food List'!$C:$H,5,FALSE))*AJ49,""))</f>
        <v/>
      </c>
      <c r="AN49" s="282" t="str">
        <f>IF(ISBLANK(AJ49),"",IFERROR((VLOOKUP(AH49,'Food List'!$C:$H,6,FALSE))*AJ49,""))</f>
        <v/>
      </c>
      <c r="AO49" s="13"/>
      <c r="AP49" s="285"/>
      <c r="AQ49" s="286"/>
      <c r="AR49" s="279"/>
      <c r="AS49" s="279" t="str">
        <f>IF(ISBLANK(AR49),"",IFERROR((VLOOKUP(AR49,'Food List'!$C:$H,2,FALSE)),""))</f>
        <v/>
      </c>
      <c r="AT49" s="279"/>
      <c r="AU49" s="280" t="str">
        <f>IF(ISBLANK(AT49),"",IFERROR((VLOOKUP(AR49,'Food List'!$C:$H,3,FALSE))*AT49,""))</f>
        <v/>
      </c>
      <c r="AV49" s="281" t="str">
        <f>IF(ISBLANK(AT49),"",IFERROR((VLOOKUP(AR49,'Food List'!$C:$H,4,FALSE))*AT49,""))</f>
        <v/>
      </c>
      <c r="AW49" s="282" t="str">
        <f>IF(ISBLANK(AT49),"",IFERROR((VLOOKUP(AR49,'Food List'!$C:$H,5,FALSE))*AT49,""))</f>
        <v/>
      </c>
      <c r="AX49" s="282" t="str">
        <f>IF(ISBLANK(AT49),"",IFERROR((VLOOKUP(AR49,'Food List'!$C:$H,6,FALSE))*AT49,""))</f>
        <v/>
      </c>
      <c r="AY49" s="319"/>
      <c r="AZ49" s="285"/>
      <c r="BA49" s="286"/>
      <c r="BB49" s="279"/>
      <c r="BC49" s="279" t="str">
        <f>IF(ISBLANK(BB49),"",IFERROR((VLOOKUP(BB49,'Food List'!$C:$H,2,FALSE)),""))</f>
        <v/>
      </c>
      <c r="BD49" s="279"/>
      <c r="BE49" s="280" t="str">
        <f>IF(ISBLANK(BD49),"",IFERROR((VLOOKUP(BB49,'Food List'!$C:$H,3,FALSE))*BD49,""))</f>
        <v/>
      </c>
      <c r="BF49" s="281" t="str">
        <f>IF(ISBLANK(BD49),"",IFERROR((VLOOKUP(BB49,'Food List'!$C:$H,4,FALSE))*BD49,""))</f>
        <v/>
      </c>
      <c r="BG49" s="282" t="str">
        <f>IF(ISBLANK(BD49),"",IFERROR((VLOOKUP(BB49,'Food List'!$C:$H,5,FALSE))*BD49,""))</f>
        <v/>
      </c>
      <c r="BH49" s="282" t="str">
        <f>IF(ISBLANK(BD49),"",IFERROR((VLOOKUP(BB49,'Food List'!$C:$H,6,FALSE))*BD49,""))</f>
        <v/>
      </c>
      <c r="BI49" s="319"/>
      <c r="BJ49" s="285"/>
      <c r="BK49" s="286"/>
      <c r="BL49" s="279"/>
      <c r="BM49" s="279" t="str">
        <f>IF(ISBLANK(BL49),"",IFERROR((VLOOKUP(BL49,'Food List'!$C:$H,2,FALSE)),""))</f>
        <v/>
      </c>
      <c r="BN49" s="279"/>
      <c r="BO49" s="280" t="str">
        <f>IF(ISBLANK(BN49),"",IFERROR((VLOOKUP(BL49,'Food List'!$C:$H,3,FALSE))*BN49,""))</f>
        <v/>
      </c>
      <c r="BP49" s="281" t="str">
        <f>IF(ISBLANK(BN49),"",IFERROR((VLOOKUP(BL49,'Food List'!$C:$H,4,FALSE))*BN49,""))</f>
        <v/>
      </c>
      <c r="BQ49" s="282" t="str">
        <f>IF(ISBLANK(BN49),"",IFERROR((VLOOKUP(BL49,'Food List'!$C:$H,5,FALSE))*BN49,""))</f>
        <v/>
      </c>
      <c r="BR49" s="282" t="str">
        <f>IF(ISBLANK(BN49),"",IFERROR((VLOOKUP(BL49,'Food List'!$C:$H,6,FALSE))*BN49,""))</f>
        <v/>
      </c>
      <c r="BS49" s="257"/>
    </row>
    <row r="50">
      <c r="A50" s="266"/>
      <c r="B50" s="277"/>
      <c r="C50" s="278"/>
      <c r="D50" s="287"/>
      <c r="E50" s="287" t="str">
        <f>IF(ISBLANK(D50),"",IFERROR((VLOOKUP(D50,'Food List'!$C:$H,2,FALSE)),""))</f>
        <v/>
      </c>
      <c r="F50" s="287"/>
      <c r="G50" s="288" t="str">
        <f>IF(ISBLANK(F50),"",IFERROR((VLOOKUP(D50,'Food List'!$C:$H,3,FALSE))*F50,""))</f>
        <v/>
      </c>
      <c r="H50" s="289" t="str">
        <f>IF(ISBLANK(F50),"",IFERROR((VLOOKUP(D50,'Food List'!$C:$H,4,FALSE))*F50,""))</f>
        <v/>
      </c>
      <c r="I50" s="290" t="str">
        <f>IF(ISBLANK(F50),"",IFERROR((VLOOKUP(D50,'Food List'!$C:$H,5,FALSE))*F50,""))</f>
        <v/>
      </c>
      <c r="J50" s="290" t="str">
        <f>IF(ISBLANK(F50),"",IFERROR((VLOOKUP(D50,'Food List'!$C:$H,6,FALSE))*F50,""))</f>
        <v/>
      </c>
      <c r="K50" s="13"/>
      <c r="L50" s="277"/>
      <c r="M50" s="278"/>
      <c r="N50" s="287"/>
      <c r="O50" s="287" t="str">
        <f>IF(ISBLANK(N50),"",IFERROR((VLOOKUP(N50,'Food List'!$C:$H,2,FALSE)),""))</f>
        <v/>
      </c>
      <c r="P50" s="287"/>
      <c r="Q50" s="288" t="str">
        <f>IF(ISBLANK(P50),"",IFERROR((VLOOKUP(N50,'Food List'!$C:$H,3,FALSE))*P50,""))</f>
        <v/>
      </c>
      <c r="R50" s="289" t="str">
        <f>IF(ISBLANK(P50),"",IFERROR((VLOOKUP(N50,'Food List'!$C:$H,4,FALSE))*P50,""))</f>
        <v/>
      </c>
      <c r="S50" s="290" t="str">
        <f>IF(ISBLANK(P50),"",IFERROR((VLOOKUP(N50,'Food List'!$C:$H,5,FALSE))*P50,""))</f>
        <v/>
      </c>
      <c r="T50" s="290" t="str">
        <f>IF(ISBLANK(P50),"",IFERROR((VLOOKUP(N50,'Food List'!$C:$H,6,FALSE))*P50,""))</f>
        <v/>
      </c>
      <c r="U50" s="13"/>
      <c r="V50" s="277"/>
      <c r="W50" s="278"/>
      <c r="X50" s="287"/>
      <c r="Y50" s="287" t="str">
        <f>IF(ISBLANK(X50),"",IFERROR((VLOOKUP(X50,'Food List'!$C:$H,2,FALSE)),""))</f>
        <v/>
      </c>
      <c r="Z50" s="287"/>
      <c r="AA50" s="288" t="str">
        <f>IF(ISBLANK(Z50),"",IFERROR((VLOOKUP(X50,'Food List'!$C:$H,3,FALSE))*Z50,""))</f>
        <v/>
      </c>
      <c r="AB50" s="289" t="str">
        <f>IF(ISBLANK(Z50),"",IFERROR((VLOOKUP(X50,'Food List'!$C:$H,4,FALSE))*Z50,""))</f>
        <v/>
      </c>
      <c r="AC50" s="290" t="str">
        <f>IF(ISBLANK(Z50),"",IFERROR((VLOOKUP(X50,'Food List'!$C:$H,5,FALSE))*Z50,""))</f>
        <v/>
      </c>
      <c r="AD50" s="290" t="str">
        <f>IF(ISBLANK(Z50),"",IFERROR((VLOOKUP(X50,'Food List'!$C:$H,6,FALSE))*Z50,""))</f>
        <v/>
      </c>
      <c r="AE50" s="13"/>
      <c r="AF50" s="277"/>
      <c r="AG50" s="278"/>
      <c r="AH50" s="287"/>
      <c r="AI50" s="287" t="str">
        <f>IF(ISBLANK(AH50),"",IFERROR((VLOOKUP(AH50,'Food List'!$C:$H,2,FALSE)),""))</f>
        <v/>
      </c>
      <c r="AJ50" s="287"/>
      <c r="AK50" s="288" t="str">
        <f>IF(ISBLANK(AJ50),"",IFERROR((VLOOKUP(AH50,'Food List'!$C:$H,3,FALSE))*AJ50,""))</f>
        <v/>
      </c>
      <c r="AL50" s="289" t="str">
        <f>IF(ISBLANK(AJ50),"",IFERROR((VLOOKUP(AH50,'Food List'!$C:$H,4,FALSE))*AJ50,""))</f>
        <v/>
      </c>
      <c r="AM50" s="290" t="str">
        <f>IF(ISBLANK(AJ50),"",IFERROR((VLOOKUP(AH50,'Food List'!$C:$H,5,FALSE))*AJ50,""))</f>
        <v/>
      </c>
      <c r="AN50" s="290" t="str">
        <f>IF(ISBLANK(AJ50),"",IFERROR((VLOOKUP(AH50,'Food List'!$C:$H,6,FALSE))*AJ50,""))</f>
        <v/>
      </c>
      <c r="AO50" s="13"/>
      <c r="AP50" s="277"/>
      <c r="AQ50" s="278"/>
      <c r="AR50" s="287"/>
      <c r="AS50" s="287" t="str">
        <f>IF(ISBLANK(AR50),"",IFERROR((VLOOKUP(AR50,'Food List'!$C:$H,2,FALSE)),""))</f>
        <v/>
      </c>
      <c r="AT50" s="287"/>
      <c r="AU50" s="288" t="str">
        <f>IF(ISBLANK(AT50),"",IFERROR((VLOOKUP(AR50,'Food List'!$C:$H,3,FALSE))*AT50,""))</f>
        <v/>
      </c>
      <c r="AV50" s="289" t="str">
        <f>IF(ISBLANK(AT50),"",IFERROR((VLOOKUP(AR50,'Food List'!$C:$H,4,FALSE))*AT50,""))</f>
        <v/>
      </c>
      <c r="AW50" s="290" t="str">
        <f>IF(ISBLANK(AT50),"",IFERROR((VLOOKUP(AR50,'Food List'!$C:$H,5,FALSE))*AT50,""))</f>
        <v/>
      </c>
      <c r="AX50" s="290" t="str">
        <f>IF(ISBLANK(AT50),"",IFERROR((VLOOKUP(AR50,'Food List'!$C:$H,6,FALSE))*AT50,""))</f>
        <v/>
      </c>
      <c r="AY50" s="318"/>
      <c r="AZ50" s="277"/>
      <c r="BA50" s="278"/>
      <c r="BB50" s="287"/>
      <c r="BC50" s="287" t="str">
        <f>IF(ISBLANK(BB50),"",IFERROR((VLOOKUP(BB50,'Food List'!$C:$H,2,FALSE)),""))</f>
        <v/>
      </c>
      <c r="BD50" s="287"/>
      <c r="BE50" s="288" t="str">
        <f>IF(ISBLANK(BD50),"",IFERROR((VLOOKUP(BB50,'Food List'!$C:$H,3,FALSE))*BD50,""))</f>
        <v/>
      </c>
      <c r="BF50" s="289" t="str">
        <f>IF(ISBLANK(BD50),"",IFERROR((VLOOKUP(BB50,'Food List'!$C:$H,4,FALSE))*BD50,""))</f>
        <v/>
      </c>
      <c r="BG50" s="290" t="str">
        <f>IF(ISBLANK(BD50),"",IFERROR((VLOOKUP(BB50,'Food List'!$C:$H,5,FALSE))*BD50,""))</f>
        <v/>
      </c>
      <c r="BH50" s="290" t="str">
        <f>IF(ISBLANK(BD50),"",IFERROR((VLOOKUP(BB50,'Food List'!$C:$H,6,FALSE))*BD50,""))</f>
        <v/>
      </c>
      <c r="BI50" s="318"/>
      <c r="BJ50" s="277"/>
      <c r="BK50" s="278"/>
      <c r="BL50" s="287"/>
      <c r="BM50" s="287" t="str">
        <f>IF(ISBLANK(BL50),"",IFERROR((VLOOKUP(BL50,'Food List'!$C:$H,2,FALSE)),""))</f>
        <v/>
      </c>
      <c r="BN50" s="287"/>
      <c r="BO50" s="288" t="str">
        <f>IF(ISBLANK(BN50),"",IFERROR((VLOOKUP(BL50,'Food List'!$C:$H,3,FALSE))*BN50,""))</f>
        <v/>
      </c>
      <c r="BP50" s="289" t="str">
        <f>IF(ISBLANK(BN50),"",IFERROR((VLOOKUP(BL50,'Food List'!$C:$H,4,FALSE))*BN50,""))</f>
        <v/>
      </c>
      <c r="BQ50" s="290" t="str">
        <f>IF(ISBLANK(BN50),"",IFERROR((VLOOKUP(BL50,'Food List'!$C:$H,5,FALSE))*BN50,""))</f>
        <v/>
      </c>
      <c r="BR50" s="290" t="str">
        <f>IF(ISBLANK(BN50),"",IFERROR((VLOOKUP(BL50,'Food List'!$C:$H,6,FALSE))*BN50,""))</f>
        <v/>
      </c>
      <c r="BS50" s="261"/>
    </row>
    <row r="51" ht="18.75" customHeight="1">
      <c r="A51" s="266"/>
      <c r="B51" s="291"/>
      <c r="C51" s="292"/>
      <c r="D51" s="293" t="s">
        <v>594</v>
      </c>
      <c r="E51" s="294"/>
      <c r="F51" s="295"/>
      <c r="G51" s="296">
        <f t="shared" ref="G51:J51" si="36">IFERROR(SUM(G45:G50),0)</f>
        <v>0</v>
      </c>
      <c r="H51" s="296">
        <f t="shared" si="36"/>
        <v>0</v>
      </c>
      <c r="I51" s="296">
        <f t="shared" si="36"/>
        <v>0</v>
      </c>
      <c r="J51" s="296">
        <f t="shared" si="36"/>
        <v>0</v>
      </c>
      <c r="K51" s="13"/>
      <c r="L51" s="291"/>
      <c r="M51" s="292"/>
      <c r="N51" s="293" t="s">
        <v>594</v>
      </c>
      <c r="O51" s="294"/>
      <c r="P51" s="295"/>
      <c r="Q51" s="296">
        <f t="shared" ref="Q51:T51" si="37">IFERROR(SUM(Q45:Q50),0)</f>
        <v>0</v>
      </c>
      <c r="R51" s="296">
        <f t="shared" si="37"/>
        <v>0</v>
      </c>
      <c r="S51" s="296">
        <f t="shared" si="37"/>
        <v>0</v>
      </c>
      <c r="T51" s="296">
        <f t="shared" si="37"/>
        <v>0</v>
      </c>
      <c r="U51" s="13"/>
      <c r="V51" s="291"/>
      <c r="W51" s="292"/>
      <c r="X51" s="293" t="s">
        <v>594</v>
      </c>
      <c r="Y51" s="294"/>
      <c r="Z51" s="295"/>
      <c r="AA51" s="296">
        <f t="shared" ref="AA51:AD51" si="38">IFERROR(SUM(AA45:AA50),0)</f>
        <v>0</v>
      </c>
      <c r="AB51" s="296">
        <f t="shared" si="38"/>
        <v>0</v>
      </c>
      <c r="AC51" s="296">
        <f t="shared" si="38"/>
        <v>0</v>
      </c>
      <c r="AD51" s="296">
        <f t="shared" si="38"/>
        <v>0</v>
      </c>
      <c r="AE51" s="13"/>
      <c r="AF51" s="291"/>
      <c r="AG51" s="292"/>
      <c r="AH51" s="293" t="s">
        <v>594</v>
      </c>
      <c r="AI51" s="294"/>
      <c r="AJ51" s="295"/>
      <c r="AK51" s="296">
        <f t="shared" ref="AK51:AN51" si="39">IFERROR(SUM(AK45:AK50),0)</f>
        <v>0</v>
      </c>
      <c r="AL51" s="296">
        <f t="shared" si="39"/>
        <v>0</v>
      </c>
      <c r="AM51" s="296">
        <f t="shared" si="39"/>
        <v>0</v>
      </c>
      <c r="AN51" s="296">
        <f t="shared" si="39"/>
        <v>0</v>
      </c>
      <c r="AO51" s="13"/>
      <c r="AP51" s="291"/>
      <c r="AQ51" s="292"/>
      <c r="AR51" s="293" t="s">
        <v>594</v>
      </c>
      <c r="AS51" s="294"/>
      <c r="AT51" s="295"/>
      <c r="AU51" s="296">
        <f t="shared" ref="AU51:AX51" si="40">IFERROR(SUM(AU45:AU50),0)</f>
        <v>0</v>
      </c>
      <c r="AV51" s="296">
        <f t="shared" si="40"/>
        <v>0</v>
      </c>
      <c r="AW51" s="296">
        <f t="shared" si="40"/>
        <v>0</v>
      </c>
      <c r="AX51" s="296">
        <f t="shared" si="40"/>
        <v>0</v>
      </c>
      <c r="AY51" s="319"/>
      <c r="AZ51" s="291"/>
      <c r="BA51" s="292"/>
      <c r="BB51" s="293" t="s">
        <v>594</v>
      </c>
      <c r="BC51" s="294"/>
      <c r="BD51" s="295"/>
      <c r="BE51" s="296">
        <f t="shared" ref="BE51:BH51" si="41">IFERROR(SUM(BE45:BE50),0)</f>
        <v>0</v>
      </c>
      <c r="BF51" s="296">
        <f t="shared" si="41"/>
        <v>0</v>
      </c>
      <c r="BG51" s="296">
        <f t="shared" si="41"/>
        <v>0</v>
      </c>
      <c r="BH51" s="296">
        <f t="shared" si="41"/>
        <v>0</v>
      </c>
      <c r="BI51" s="319"/>
      <c r="BJ51" s="291"/>
      <c r="BK51" s="292"/>
      <c r="BL51" s="293" t="s">
        <v>594</v>
      </c>
      <c r="BM51" s="294"/>
      <c r="BN51" s="295"/>
      <c r="BO51" s="296">
        <f t="shared" ref="BO51:BR51" si="42">IFERROR(SUM(BO45:BO50),0)</f>
        <v>0</v>
      </c>
      <c r="BP51" s="296">
        <f t="shared" si="42"/>
        <v>0</v>
      </c>
      <c r="BQ51" s="296">
        <f t="shared" si="42"/>
        <v>0</v>
      </c>
      <c r="BR51" s="296">
        <f t="shared" si="42"/>
        <v>0</v>
      </c>
      <c r="BS51" s="257"/>
    </row>
    <row r="52" ht="7.5" customHeight="1">
      <c r="A52" s="247"/>
      <c r="B52" s="249"/>
      <c r="C52" s="303"/>
      <c r="D52" s="303"/>
      <c r="E52" s="303"/>
      <c r="F52" s="303"/>
      <c r="G52" s="303"/>
      <c r="H52" s="303"/>
      <c r="I52" s="303"/>
      <c r="J52" s="304"/>
      <c r="K52" s="13"/>
      <c r="L52" s="249"/>
      <c r="M52" s="303"/>
      <c r="N52" s="303"/>
      <c r="O52" s="303"/>
      <c r="P52" s="303"/>
      <c r="Q52" s="303"/>
      <c r="R52" s="303"/>
      <c r="S52" s="303"/>
      <c r="T52" s="304"/>
      <c r="U52" s="13"/>
      <c r="V52" s="249"/>
      <c r="W52" s="303"/>
      <c r="X52" s="303"/>
      <c r="Y52" s="303"/>
      <c r="Z52" s="303"/>
      <c r="AA52" s="303"/>
      <c r="AB52" s="303"/>
      <c r="AC52" s="303"/>
      <c r="AD52" s="304"/>
      <c r="AE52" s="13"/>
      <c r="AF52" s="249"/>
      <c r="AG52" s="303"/>
      <c r="AH52" s="303"/>
      <c r="AI52" s="303"/>
      <c r="AJ52" s="303"/>
      <c r="AK52" s="303"/>
      <c r="AL52" s="303"/>
      <c r="AM52" s="303"/>
      <c r="AN52" s="304"/>
      <c r="AO52" s="13"/>
      <c r="AP52" s="249"/>
      <c r="AQ52" s="303"/>
      <c r="AR52" s="303"/>
      <c r="AS52" s="303"/>
      <c r="AT52" s="303"/>
      <c r="AU52" s="303"/>
      <c r="AV52" s="303"/>
      <c r="AW52" s="303"/>
      <c r="AX52" s="304"/>
      <c r="AY52" s="318"/>
      <c r="AZ52" s="249"/>
      <c r="BA52" s="303"/>
      <c r="BB52" s="303"/>
      <c r="BC52" s="303"/>
      <c r="BD52" s="303"/>
      <c r="BE52" s="303"/>
      <c r="BF52" s="303"/>
      <c r="BG52" s="303"/>
      <c r="BH52" s="304"/>
      <c r="BI52" s="318"/>
      <c r="BJ52" s="249"/>
      <c r="BK52" s="303"/>
      <c r="BL52" s="303"/>
      <c r="BM52" s="303"/>
      <c r="BN52" s="303"/>
      <c r="BO52" s="303"/>
      <c r="BP52" s="303"/>
      <c r="BQ52" s="303"/>
      <c r="BR52" s="304"/>
      <c r="BS52" s="261"/>
    </row>
    <row r="53">
      <c r="A53" s="266"/>
      <c r="B53" s="269" t="s">
        <v>607</v>
      </c>
      <c r="C53" s="270"/>
      <c r="D53" s="271"/>
      <c r="E53" s="271" t="str">
        <f>IF(ISBLANK(D53),"",IFERROR((VLOOKUP(D53,'Food List'!$C:$H,2,FALSE)),""))</f>
        <v/>
      </c>
      <c r="F53" s="271"/>
      <c r="G53" s="272" t="str">
        <f>IF(ISBLANK(F53),"",IFERROR((VLOOKUP(D53,'Food List'!$C:$H,3,FALSE))*F53,""))</f>
        <v/>
      </c>
      <c r="H53" s="273" t="str">
        <f>IF(ISBLANK(F53),"",IFERROR((VLOOKUP(D53,'Food List'!$C:$H,4,FALSE))*F53,""))</f>
        <v/>
      </c>
      <c r="I53" s="274" t="str">
        <f>IF(ISBLANK(F53),"",IFERROR((VLOOKUP(D53,'Food List'!$C:$H,5,FALSE))*F53,""))</f>
        <v/>
      </c>
      <c r="J53" s="274" t="str">
        <f>IF(ISBLANK(F53),"",IFERROR((VLOOKUP(D53,'Food List'!$C:$H,6,FALSE))*F53,""))</f>
        <v/>
      </c>
      <c r="K53" s="13"/>
      <c r="L53" s="269" t="s">
        <v>607</v>
      </c>
      <c r="M53" s="270"/>
      <c r="N53" s="271"/>
      <c r="O53" s="271" t="str">
        <f>IF(ISBLANK(N53),"",IFERROR((VLOOKUP(N53,'Food List'!$C:$H,2,FALSE)),""))</f>
        <v/>
      </c>
      <c r="P53" s="271"/>
      <c r="Q53" s="272" t="str">
        <f>IF(ISBLANK(P53),"",IFERROR((VLOOKUP(N53,'Food List'!$C:$H,3,FALSE))*P53,""))</f>
        <v/>
      </c>
      <c r="R53" s="273" t="str">
        <f>IF(ISBLANK(P53),"",IFERROR((VLOOKUP(N53,'Food List'!$C:$H,4,FALSE))*P53,""))</f>
        <v/>
      </c>
      <c r="S53" s="274" t="str">
        <f>IF(ISBLANK(P53),"",IFERROR((VLOOKUP(N53,'Food List'!$C:$H,5,FALSE))*P53,""))</f>
        <v/>
      </c>
      <c r="T53" s="274" t="str">
        <f>IF(ISBLANK(P53),"",IFERROR((VLOOKUP(N53,'Food List'!$C:$H,6,FALSE))*P53,""))</f>
        <v/>
      </c>
      <c r="U53" s="13"/>
      <c r="V53" s="269" t="s">
        <v>607</v>
      </c>
      <c r="W53" s="270"/>
      <c r="X53" s="271"/>
      <c r="Y53" s="271" t="str">
        <f>IF(ISBLANK(X53),"",IFERROR((VLOOKUP(X53,'Food List'!$C:$H,2,FALSE)),""))</f>
        <v/>
      </c>
      <c r="Z53" s="271"/>
      <c r="AA53" s="272" t="str">
        <f>IF(ISBLANK(Z53),"",IFERROR((VLOOKUP(X53,'Food List'!$C:$H,3,FALSE))*Z53,""))</f>
        <v/>
      </c>
      <c r="AB53" s="273" t="str">
        <f>IF(ISBLANK(Z53),"",IFERROR((VLOOKUP(X53,'Food List'!$C:$H,4,FALSE))*Z53,""))</f>
        <v/>
      </c>
      <c r="AC53" s="274" t="str">
        <f>IF(ISBLANK(Z53),"",IFERROR((VLOOKUP(X53,'Food List'!$C:$H,5,FALSE))*Z53,""))</f>
        <v/>
      </c>
      <c r="AD53" s="274" t="str">
        <f>IF(ISBLANK(Z53),"",IFERROR((VLOOKUP(X53,'Food List'!$C:$H,6,FALSE))*Z53,""))</f>
        <v/>
      </c>
      <c r="AE53" s="13"/>
      <c r="AF53" s="269" t="s">
        <v>607</v>
      </c>
      <c r="AG53" s="270"/>
      <c r="AH53" s="271"/>
      <c r="AI53" s="271" t="str">
        <f>IF(ISBLANK(AH53),"",IFERROR((VLOOKUP(AH53,'Food List'!$C:$H,2,FALSE)),""))</f>
        <v/>
      </c>
      <c r="AJ53" s="271"/>
      <c r="AK53" s="272" t="str">
        <f>IF(ISBLANK(AJ53),"",IFERROR((VLOOKUP(AH53,'Food List'!$C:$H,3,FALSE))*AJ53,""))</f>
        <v/>
      </c>
      <c r="AL53" s="273" t="str">
        <f>IF(ISBLANK(AJ53),"",IFERROR((VLOOKUP(AH53,'Food List'!$C:$H,4,FALSE))*AJ53,""))</f>
        <v/>
      </c>
      <c r="AM53" s="274" t="str">
        <f>IF(ISBLANK(AJ53),"",IFERROR((VLOOKUP(AH53,'Food List'!$C:$H,5,FALSE))*AJ53,""))</f>
        <v/>
      </c>
      <c r="AN53" s="274" t="str">
        <f>IF(ISBLANK(AJ53),"",IFERROR((VLOOKUP(AH53,'Food List'!$C:$H,6,FALSE))*AJ53,""))</f>
        <v/>
      </c>
      <c r="AO53" s="13"/>
      <c r="AP53" s="269" t="s">
        <v>607</v>
      </c>
      <c r="AQ53" s="270"/>
      <c r="AR53" s="271"/>
      <c r="AS53" s="271" t="str">
        <f>IF(ISBLANK(AR53),"",IFERROR((VLOOKUP(AR53,'Food List'!$C:$H,2,FALSE)),""))</f>
        <v/>
      </c>
      <c r="AT53" s="271"/>
      <c r="AU53" s="272" t="str">
        <f>IF(ISBLANK(AT53),"",IFERROR((VLOOKUP(AR53,'Food List'!$C:$H,3,FALSE))*AT53,""))</f>
        <v/>
      </c>
      <c r="AV53" s="273" t="str">
        <f>IF(ISBLANK(AT53),"",IFERROR((VLOOKUP(AR53,'Food List'!$C:$H,4,FALSE))*AT53,""))</f>
        <v/>
      </c>
      <c r="AW53" s="274" t="str">
        <f>IF(ISBLANK(AT53),"",IFERROR((VLOOKUP(AR53,'Food List'!$C:$H,5,FALSE))*AT53,""))</f>
        <v/>
      </c>
      <c r="AX53" s="274" t="str">
        <f>IF(ISBLANK(AT53),"",IFERROR((VLOOKUP(AR53,'Food List'!$C:$H,6,FALSE))*AT53,""))</f>
        <v/>
      </c>
      <c r="AY53" s="319"/>
      <c r="AZ53" s="269" t="s">
        <v>607</v>
      </c>
      <c r="BA53" s="270"/>
      <c r="BB53" s="271"/>
      <c r="BC53" s="271" t="str">
        <f>IF(ISBLANK(BB53),"",IFERROR((VLOOKUP(BB53,'Food List'!$C:$H,2,FALSE)),""))</f>
        <v/>
      </c>
      <c r="BD53" s="271"/>
      <c r="BE53" s="272" t="str">
        <f>IF(ISBLANK(BD53),"",IFERROR((VLOOKUP(BB53,'Food List'!$C:$H,3,FALSE))*BD53,""))</f>
        <v/>
      </c>
      <c r="BF53" s="273" t="str">
        <f>IF(ISBLANK(BD53),"",IFERROR((VLOOKUP(BB53,'Food List'!$C:$H,4,FALSE))*BD53,""))</f>
        <v/>
      </c>
      <c r="BG53" s="274" t="str">
        <f>IF(ISBLANK(BD53),"",IFERROR((VLOOKUP(BB53,'Food List'!$C:$H,5,FALSE))*BD53,""))</f>
        <v/>
      </c>
      <c r="BH53" s="274" t="str">
        <f>IF(ISBLANK(BD53),"",IFERROR((VLOOKUP(BB53,'Food List'!$C:$H,6,FALSE))*BD53,""))</f>
        <v/>
      </c>
      <c r="BI53" s="319"/>
      <c r="BJ53" s="269" t="s">
        <v>607</v>
      </c>
      <c r="BK53" s="270"/>
      <c r="BL53" s="271"/>
      <c r="BM53" s="271" t="str">
        <f>IF(ISBLANK(BL53),"",IFERROR((VLOOKUP(BL53,'Food List'!$C:$H,2,FALSE)),""))</f>
        <v/>
      </c>
      <c r="BN53" s="271"/>
      <c r="BO53" s="272" t="str">
        <f>IF(ISBLANK(BN53),"",IFERROR((VLOOKUP(BL53,'Food List'!$C:$H,3,FALSE))*BN53,""))</f>
        <v/>
      </c>
      <c r="BP53" s="273" t="str">
        <f>IF(ISBLANK(BN53),"",IFERROR((VLOOKUP(BL53,'Food List'!$C:$H,4,FALSE))*BN53,""))</f>
        <v/>
      </c>
      <c r="BQ53" s="274" t="str">
        <f>IF(ISBLANK(BN53),"",IFERROR((VLOOKUP(BL53,'Food List'!$C:$H,5,FALSE))*BN53,""))</f>
        <v/>
      </c>
      <c r="BR53" s="274" t="str">
        <f>IF(ISBLANK(BN53),"",IFERROR((VLOOKUP(BL53,'Food List'!$C:$H,6,FALSE))*BN53,""))</f>
        <v/>
      </c>
      <c r="BS53" s="257"/>
    </row>
    <row r="54">
      <c r="A54" s="266"/>
      <c r="B54" s="277"/>
      <c r="C54" s="278"/>
      <c r="D54" s="279"/>
      <c r="E54" s="279" t="str">
        <f>IF(ISBLANK(D54),"",IFERROR((VLOOKUP(D54,'Food List'!$C:$H,2,FALSE)),""))</f>
        <v/>
      </c>
      <c r="F54" s="279"/>
      <c r="G54" s="280" t="str">
        <f>IF(ISBLANK(F54),"",IFERROR((VLOOKUP(D54,'Food List'!$C:$H,3,FALSE))*F54,""))</f>
        <v/>
      </c>
      <c r="H54" s="281" t="str">
        <f>IF(ISBLANK(F54),"",IFERROR((VLOOKUP(D54,'Food List'!$C:$H,4,FALSE))*F54,""))</f>
        <v/>
      </c>
      <c r="I54" s="282" t="str">
        <f>IF(ISBLANK(F54),"",IFERROR((VLOOKUP(D54,'Food List'!$C:$H,5,FALSE))*F54,""))</f>
        <v/>
      </c>
      <c r="J54" s="282" t="str">
        <f>IF(ISBLANK(F54),"",IFERROR((VLOOKUP(D54,'Food List'!$C:$H,6,FALSE))*F54,""))</f>
        <v/>
      </c>
      <c r="K54" s="13"/>
      <c r="L54" s="277"/>
      <c r="M54" s="278"/>
      <c r="N54" s="279"/>
      <c r="O54" s="279" t="str">
        <f>IF(ISBLANK(N54),"",IFERROR((VLOOKUP(N54,'Food List'!$C:$H,2,FALSE)),""))</f>
        <v/>
      </c>
      <c r="P54" s="279"/>
      <c r="Q54" s="280" t="str">
        <f>IF(ISBLANK(P54),"",IFERROR((VLOOKUP(N54,'Food List'!$C:$H,3,FALSE))*P54,""))</f>
        <v/>
      </c>
      <c r="R54" s="281" t="str">
        <f>IF(ISBLANK(P54),"",IFERROR((VLOOKUP(N54,'Food List'!$C:$H,4,FALSE))*P54,""))</f>
        <v/>
      </c>
      <c r="S54" s="282" t="str">
        <f>IF(ISBLANK(P54),"",IFERROR((VLOOKUP(N54,'Food List'!$C:$H,5,FALSE))*P54,""))</f>
        <v/>
      </c>
      <c r="T54" s="282" t="str">
        <f>IF(ISBLANK(P54),"",IFERROR((VLOOKUP(N54,'Food List'!$C:$H,6,FALSE))*P54,""))</f>
        <v/>
      </c>
      <c r="U54" s="13"/>
      <c r="V54" s="277"/>
      <c r="W54" s="278"/>
      <c r="X54" s="279"/>
      <c r="Y54" s="279" t="str">
        <f>IF(ISBLANK(X54),"",IFERROR((VLOOKUP(X54,'Food List'!$C:$H,2,FALSE)),""))</f>
        <v/>
      </c>
      <c r="Z54" s="279"/>
      <c r="AA54" s="280" t="str">
        <f>IF(ISBLANK(Z54),"",IFERROR((VLOOKUP(X54,'Food List'!$C:$H,3,FALSE))*Z54,""))</f>
        <v/>
      </c>
      <c r="AB54" s="281" t="str">
        <f>IF(ISBLANK(Z54),"",IFERROR((VLOOKUP(X54,'Food List'!$C:$H,4,FALSE))*Z54,""))</f>
        <v/>
      </c>
      <c r="AC54" s="282" t="str">
        <f>IF(ISBLANK(Z54),"",IFERROR((VLOOKUP(X54,'Food List'!$C:$H,5,FALSE))*Z54,""))</f>
        <v/>
      </c>
      <c r="AD54" s="282" t="str">
        <f>IF(ISBLANK(Z54),"",IFERROR((VLOOKUP(X54,'Food List'!$C:$H,6,FALSE))*Z54,""))</f>
        <v/>
      </c>
      <c r="AE54" s="13"/>
      <c r="AF54" s="277"/>
      <c r="AG54" s="278"/>
      <c r="AH54" s="279"/>
      <c r="AI54" s="279" t="str">
        <f>IF(ISBLANK(AH54),"",IFERROR((VLOOKUP(AH54,'Food List'!$C:$H,2,FALSE)),""))</f>
        <v/>
      </c>
      <c r="AJ54" s="279"/>
      <c r="AK54" s="280" t="str">
        <f>IF(ISBLANK(AJ54),"",IFERROR((VLOOKUP(AH54,'Food List'!$C:$H,3,FALSE))*AJ54,""))</f>
        <v/>
      </c>
      <c r="AL54" s="281" t="str">
        <f>IF(ISBLANK(AJ54),"",IFERROR((VLOOKUP(AH54,'Food List'!$C:$H,4,FALSE))*AJ54,""))</f>
        <v/>
      </c>
      <c r="AM54" s="282" t="str">
        <f>IF(ISBLANK(AJ54),"",IFERROR((VLOOKUP(AH54,'Food List'!$C:$H,5,FALSE))*AJ54,""))</f>
        <v/>
      </c>
      <c r="AN54" s="282" t="str">
        <f>IF(ISBLANK(AJ54),"",IFERROR((VLOOKUP(AH54,'Food List'!$C:$H,6,FALSE))*AJ54,""))</f>
        <v/>
      </c>
      <c r="AO54" s="13"/>
      <c r="AP54" s="277"/>
      <c r="AQ54" s="278"/>
      <c r="AR54" s="279"/>
      <c r="AS54" s="279" t="str">
        <f>IF(ISBLANK(AR54),"",IFERROR((VLOOKUP(AR54,'Food List'!$C:$H,2,FALSE)),""))</f>
        <v/>
      </c>
      <c r="AT54" s="279"/>
      <c r="AU54" s="280" t="str">
        <f>IF(ISBLANK(AT54),"",IFERROR((VLOOKUP(AR54,'Food List'!$C:$H,3,FALSE))*AT54,""))</f>
        <v/>
      </c>
      <c r="AV54" s="281" t="str">
        <f>IF(ISBLANK(AT54),"",IFERROR((VLOOKUP(AR54,'Food List'!$C:$H,4,FALSE))*AT54,""))</f>
        <v/>
      </c>
      <c r="AW54" s="282" t="str">
        <f>IF(ISBLANK(AT54),"",IFERROR((VLOOKUP(AR54,'Food List'!$C:$H,5,FALSE))*AT54,""))</f>
        <v/>
      </c>
      <c r="AX54" s="282" t="str">
        <f>IF(ISBLANK(AT54),"",IFERROR((VLOOKUP(AR54,'Food List'!$C:$H,6,FALSE))*AT54,""))</f>
        <v/>
      </c>
      <c r="AY54" s="318"/>
      <c r="AZ54" s="277"/>
      <c r="BA54" s="278"/>
      <c r="BB54" s="279"/>
      <c r="BC54" s="279" t="str">
        <f>IF(ISBLANK(BB54),"",IFERROR((VLOOKUP(BB54,'Food List'!$C:$H,2,FALSE)),""))</f>
        <v/>
      </c>
      <c r="BD54" s="279"/>
      <c r="BE54" s="280" t="str">
        <f>IF(ISBLANK(BD54),"",IFERROR((VLOOKUP(BB54,'Food List'!$C:$H,3,FALSE))*BD54,""))</f>
        <v/>
      </c>
      <c r="BF54" s="281" t="str">
        <f>IF(ISBLANK(BD54),"",IFERROR((VLOOKUP(BB54,'Food List'!$C:$H,4,FALSE))*BD54,""))</f>
        <v/>
      </c>
      <c r="BG54" s="282" t="str">
        <f>IF(ISBLANK(BD54),"",IFERROR((VLOOKUP(BB54,'Food List'!$C:$H,5,FALSE))*BD54,""))</f>
        <v/>
      </c>
      <c r="BH54" s="282" t="str">
        <f>IF(ISBLANK(BD54),"",IFERROR((VLOOKUP(BB54,'Food List'!$C:$H,6,FALSE))*BD54,""))</f>
        <v/>
      </c>
      <c r="BI54" s="318"/>
      <c r="BJ54" s="277"/>
      <c r="BK54" s="278"/>
      <c r="BL54" s="279"/>
      <c r="BM54" s="279" t="str">
        <f>IF(ISBLANK(BL54),"",IFERROR((VLOOKUP(BL54,'Food List'!$C:$H,2,FALSE)),""))</f>
        <v/>
      </c>
      <c r="BN54" s="279"/>
      <c r="BO54" s="280" t="str">
        <f>IF(ISBLANK(BN54),"",IFERROR((VLOOKUP(BL54,'Food List'!$C:$H,3,FALSE))*BN54,""))</f>
        <v/>
      </c>
      <c r="BP54" s="281" t="str">
        <f>IF(ISBLANK(BN54),"",IFERROR((VLOOKUP(BL54,'Food List'!$C:$H,4,FALSE))*BN54,""))</f>
        <v/>
      </c>
      <c r="BQ54" s="282" t="str">
        <f>IF(ISBLANK(BN54),"",IFERROR((VLOOKUP(BL54,'Food List'!$C:$H,5,FALSE))*BN54,""))</f>
        <v/>
      </c>
      <c r="BR54" s="282" t="str">
        <f>IF(ISBLANK(BN54),"",IFERROR((VLOOKUP(BL54,'Food List'!$C:$H,6,FALSE))*BN54,""))</f>
        <v/>
      </c>
      <c r="BS54" s="261"/>
    </row>
    <row r="55">
      <c r="A55" s="266"/>
      <c r="B55" s="285"/>
      <c r="C55" s="286"/>
      <c r="D55" s="279"/>
      <c r="E55" s="279" t="str">
        <f>IF(ISBLANK(D55),"",IFERROR((VLOOKUP(D55,'Food List'!$C:$H,2,FALSE)),""))</f>
        <v/>
      </c>
      <c r="F55" s="279"/>
      <c r="G55" s="280" t="str">
        <f>IF(ISBLANK(F55),"",IFERROR((VLOOKUP(D55,'Food List'!$C:$H,3,FALSE))*F55,""))</f>
        <v/>
      </c>
      <c r="H55" s="281" t="str">
        <f>IF(ISBLANK(F55),"",IFERROR((VLOOKUP(D55,'Food List'!$C:$H,4,FALSE))*F55,""))</f>
        <v/>
      </c>
      <c r="I55" s="282" t="str">
        <f>IF(ISBLANK(F55),"",IFERROR((VLOOKUP(D55,'Food List'!$C:$H,5,FALSE))*F55,""))</f>
        <v/>
      </c>
      <c r="J55" s="282" t="str">
        <f>IF(ISBLANK(F55),"",IFERROR((VLOOKUP(D55,'Food List'!$C:$H,6,FALSE))*F55,""))</f>
        <v/>
      </c>
      <c r="K55" s="13"/>
      <c r="L55" s="285"/>
      <c r="M55" s="286"/>
      <c r="N55" s="279"/>
      <c r="O55" s="279" t="str">
        <f>IF(ISBLANK(N55),"",IFERROR((VLOOKUP(N55,'Food List'!$C:$H,2,FALSE)),""))</f>
        <v/>
      </c>
      <c r="P55" s="279"/>
      <c r="Q55" s="280" t="str">
        <f>IF(ISBLANK(P55),"",IFERROR((VLOOKUP(N55,'Food List'!$C:$H,3,FALSE))*P55,""))</f>
        <v/>
      </c>
      <c r="R55" s="281" t="str">
        <f>IF(ISBLANK(P55),"",IFERROR((VLOOKUP(N55,'Food List'!$C:$H,4,FALSE))*P55,""))</f>
        <v/>
      </c>
      <c r="S55" s="282" t="str">
        <f>IF(ISBLANK(P55),"",IFERROR((VLOOKUP(N55,'Food List'!$C:$H,5,FALSE))*P55,""))</f>
        <v/>
      </c>
      <c r="T55" s="282" t="str">
        <f>IF(ISBLANK(P55),"",IFERROR((VLOOKUP(N55,'Food List'!$C:$H,6,FALSE))*P55,""))</f>
        <v/>
      </c>
      <c r="U55" s="13"/>
      <c r="V55" s="285"/>
      <c r="W55" s="286"/>
      <c r="X55" s="279"/>
      <c r="Y55" s="279" t="str">
        <f>IF(ISBLANK(X55),"",IFERROR((VLOOKUP(X55,'Food List'!$C:$H,2,FALSE)),""))</f>
        <v/>
      </c>
      <c r="Z55" s="279"/>
      <c r="AA55" s="280" t="str">
        <f>IF(ISBLANK(Z55),"",IFERROR((VLOOKUP(X55,'Food List'!$C:$H,3,FALSE))*Z55,""))</f>
        <v/>
      </c>
      <c r="AB55" s="281" t="str">
        <f>IF(ISBLANK(Z55),"",IFERROR((VLOOKUP(X55,'Food List'!$C:$H,4,FALSE))*Z55,""))</f>
        <v/>
      </c>
      <c r="AC55" s="282" t="str">
        <f>IF(ISBLANK(Z55),"",IFERROR((VLOOKUP(X55,'Food List'!$C:$H,5,FALSE))*Z55,""))</f>
        <v/>
      </c>
      <c r="AD55" s="282" t="str">
        <f>IF(ISBLANK(Z55),"",IFERROR((VLOOKUP(X55,'Food List'!$C:$H,6,FALSE))*Z55,""))</f>
        <v/>
      </c>
      <c r="AE55" s="13"/>
      <c r="AF55" s="285"/>
      <c r="AG55" s="286"/>
      <c r="AH55" s="279"/>
      <c r="AI55" s="279" t="str">
        <f>IF(ISBLANK(AH55),"",IFERROR((VLOOKUP(AH55,'Food List'!$C:$H,2,FALSE)),""))</f>
        <v/>
      </c>
      <c r="AJ55" s="279"/>
      <c r="AK55" s="280" t="str">
        <f>IF(ISBLANK(AJ55),"",IFERROR((VLOOKUP(AH55,'Food List'!$C:$H,3,FALSE))*AJ55,""))</f>
        <v/>
      </c>
      <c r="AL55" s="281" t="str">
        <f>IF(ISBLANK(AJ55),"",IFERROR((VLOOKUP(AH55,'Food List'!$C:$H,4,FALSE))*AJ55,""))</f>
        <v/>
      </c>
      <c r="AM55" s="282" t="str">
        <f>IF(ISBLANK(AJ55),"",IFERROR((VLOOKUP(AH55,'Food List'!$C:$H,5,FALSE))*AJ55,""))</f>
        <v/>
      </c>
      <c r="AN55" s="282" t="str">
        <f>IF(ISBLANK(AJ55),"",IFERROR((VLOOKUP(AH55,'Food List'!$C:$H,6,FALSE))*AJ55,""))</f>
        <v/>
      </c>
      <c r="AO55" s="13"/>
      <c r="AP55" s="285"/>
      <c r="AQ55" s="286"/>
      <c r="AR55" s="279"/>
      <c r="AS55" s="279" t="str">
        <f>IF(ISBLANK(AR55),"",IFERROR((VLOOKUP(AR55,'Food List'!$C:$H,2,FALSE)),""))</f>
        <v/>
      </c>
      <c r="AT55" s="279"/>
      <c r="AU55" s="280" t="str">
        <f>IF(ISBLANK(AT55),"",IFERROR((VLOOKUP(AR55,'Food List'!$C:$H,3,FALSE))*AT55,""))</f>
        <v/>
      </c>
      <c r="AV55" s="281" t="str">
        <f>IF(ISBLANK(AT55),"",IFERROR((VLOOKUP(AR55,'Food List'!$C:$H,4,FALSE))*AT55,""))</f>
        <v/>
      </c>
      <c r="AW55" s="282" t="str">
        <f>IF(ISBLANK(AT55),"",IFERROR((VLOOKUP(AR55,'Food List'!$C:$H,5,FALSE))*AT55,""))</f>
        <v/>
      </c>
      <c r="AX55" s="282" t="str">
        <f>IF(ISBLANK(AT55),"",IFERROR((VLOOKUP(AR55,'Food List'!$C:$H,6,FALSE))*AT55,""))</f>
        <v/>
      </c>
      <c r="AY55" s="319"/>
      <c r="AZ55" s="285"/>
      <c r="BA55" s="286"/>
      <c r="BB55" s="279"/>
      <c r="BC55" s="279" t="str">
        <f>IF(ISBLANK(BB55),"",IFERROR((VLOOKUP(BB55,'Food List'!$C:$H,2,FALSE)),""))</f>
        <v/>
      </c>
      <c r="BD55" s="279"/>
      <c r="BE55" s="280" t="str">
        <f>IF(ISBLANK(BD55),"",IFERROR((VLOOKUP(BB55,'Food List'!$C:$H,3,FALSE))*BD55,""))</f>
        <v/>
      </c>
      <c r="BF55" s="281" t="str">
        <f>IF(ISBLANK(BD55),"",IFERROR((VLOOKUP(BB55,'Food List'!$C:$H,4,FALSE))*BD55,""))</f>
        <v/>
      </c>
      <c r="BG55" s="282" t="str">
        <f>IF(ISBLANK(BD55),"",IFERROR((VLOOKUP(BB55,'Food List'!$C:$H,5,FALSE))*BD55,""))</f>
        <v/>
      </c>
      <c r="BH55" s="282" t="str">
        <f>IF(ISBLANK(BD55),"",IFERROR((VLOOKUP(BB55,'Food List'!$C:$H,6,FALSE))*BD55,""))</f>
        <v/>
      </c>
      <c r="BI55" s="319"/>
      <c r="BJ55" s="285"/>
      <c r="BK55" s="286"/>
      <c r="BL55" s="279"/>
      <c r="BM55" s="279" t="str">
        <f>IF(ISBLANK(BL55),"",IFERROR((VLOOKUP(BL55,'Food List'!$C:$H,2,FALSE)),""))</f>
        <v/>
      </c>
      <c r="BN55" s="279"/>
      <c r="BO55" s="280" t="str">
        <f>IF(ISBLANK(BN55),"",IFERROR((VLOOKUP(BL55,'Food List'!$C:$H,3,FALSE))*BN55,""))</f>
        <v/>
      </c>
      <c r="BP55" s="281" t="str">
        <f>IF(ISBLANK(BN55),"",IFERROR((VLOOKUP(BL55,'Food List'!$C:$H,4,FALSE))*BN55,""))</f>
        <v/>
      </c>
      <c r="BQ55" s="282" t="str">
        <f>IF(ISBLANK(BN55),"",IFERROR((VLOOKUP(BL55,'Food List'!$C:$H,5,FALSE))*BN55,""))</f>
        <v/>
      </c>
      <c r="BR55" s="282" t="str">
        <f>IF(ISBLANK(BN55),"",IFERROR((VLOOKUP(BL55,'Food List'!$C:$H,6,FALSE))*BN55,""))</f>
        <v/>
      </c>
      <c r="BS55" s="257"/>
    </row>
    <row r="56">
      <c r="A56" s="266"/>
      <c r="B56" s="277"/>
      <c r="C56" s="278"/>
      <c r="D56" s="287"/>
      <c r="E56" s="287" t="str">
        <f>IF(ISBLANK(D56),"",IFERROR((VLOOKUP(D56,'Food List'!$C:$H,2,FALSE)),""))</f>
        <v/>
      </c>
      <c r="F56" s="287"/>
      <c r="G56" s="288" t="str">
        <f>IF(ISBLANK(F56),"",IFERROR((VLOOKUP(D56,'Food List'!$C:$H,3,FALSE))*F56,""))</f>
        <v/>
      </c>
      <c r="H56" s="289" t="str">
        <f>IF(ISBLANK(F56),"",IFERROR((VLOOKUP(D56,'Food List'!$C:$H,4,FALSE))*F56,""))</f>
        <v/>
      </c>
      <c r="I56" s="290" t="str">
        <f>IF(ISBLANK(F56),"",IFERROR((VLOOKUP(D56,'Food List'!$C:$H,5,FALSE))*F56,""))</f>
        <v/>
      </c>
      <c r="J56" s="290" t="str">
        <f>IF(ISBLANK(F56),"",IFERROR((VLOOKUP(D56,'Food List'!$C:$H,6,FALSE))*F56,""))</f>
        <v/>
      </c>
      <c r="K56" s="13"/>
      <c r="L56" s="277"/>
      <c r="M56" s="278"/>
      <c r="N56" s="287"/>
      <c r="O56" s="287" t="str">
        <f>IF(ISBLANK(N56),"",IFERROR((VLOOKUP(N56,'Food List'!$C:$H,2,FALSE)),""))</f>
        <v/>
      </c>
      <c r="P56" s="287"/>
      <c r="Q56" s="288" t="str">
        <f>IF(ISBLANK(P56),"",IFERROR((VLOOKUP(N56,'Food List'!$C:$H,3,FALSE))*P56,""))</f>
        <v/>
      </c>
      <c r="R56" s="289" t="str">
        <f>IF(ISBLANK(P56),"",IFERROR((VLOOKUP(N56,'Food List'!$C:$H,4,FALSE))*P56,""))</f>
        <v/>
      </c>
      <c r="S56" s="290" t="str">
        <f>IF(ISBLANK(P56),"",IFERROR((VLOOKUP(N56,'Food List'!$C:$H,5,FALSE))*P56,""))</f>
        <v/>
      </c>
      <c r="T56" s="290" t="str">
        <f>IF(ISBLANK(P56),"",IFERROR((VLOOKUP(N56,'Food List'!$C:$H,6,FALSE))*P56,""))</f>
        <v/>
      </c>
      <c r="U56" s="13"/>
      <c r="V56" s="277"/>
      <c r="W56" s="278"/>
      <c r="X56" s="287"/>
      <c r="Y56" s="287" t="str">
        <f>IF(ISBLANK(X56),"",IFERROR((VLOOKUP(X56,'Food List'!$C:$H,2,FALSE)),""))</f>
        <v/>
      </c>
      <c r="Z56" s="287"/>
      <c r="AA56" s="288" t="str">
        <f>IF(ISBLANK(Z56),"",IFERROR((VLOOKUP(X56,'Food List'!$C:$H,3,FALSE))*Z56,""))</f>
        <v/>
      </c>
      <c r="AB56" s="289" t="str">
        <f>IF(ISBLANK(Z56),"",IFERROR((VLOOKUP(X56,'Food List'!$C:$H,4,FALSE))*Z56,""))</f>
        <v/>
      </c>
      <c r="AC56" s="290" t="str">
        <f>IF(ISBLANK(Z56),"",IFERROR((VLOOKUP(X56,'Food List'!$C:$H,5,FALSE))*Z56,""))</f>
        <v/>
      </c>
      <c r="AD56" s="290" t="str">
        <f>IF(ISBLANK(Z56),"",IFERROR((VLOOKUP(X56,'Food List'!$C:$H,6,FALSE))*Z56,""))</f>
        <v/>
      </c>
      <c r="AE56" s="13"/>
      <c r="AF56" s="277"/>
      <c r="AG56" s="278"/>
      <c r="AH56" s="287"/>
      <c r="AI56" s="287" t="str">
        <f>IF(ISBLANK(AH56),"",IFERROR((VLOOKUP(AH56,'Food List'!$C:$H,2,FALSE)),""))</f>
        <v/>
      </c>
      <c r="AJ56" s="287"/>
      <c r="AK56" s="288" t="str">
        <f>IF(ISBLANK(AJ56),"",IFERROR((VLOOKUP(AH56,'Food List'!$C:$H,3,FALSE))*AJ56,""))</f>
        <v/>
      </c>
      <c r="AL56" s="289" t="str">
        <f>IF(ISBLANK(AJ56),"",IFERROR((VLOOKUP(AH56,'Food List'!$C:$H,4,FALSE))*AJ56,""))</f>
        <v/>
      </c>
      <c r="AM56" s="290" t="str">
        <f>IF(ISBLANK(AJ56),"",IFERROR((VLOOKUP(AH56,'Food List'!$C:$H,5,FALSE))*AJ56,""))</f>
        <v/>
      </c>
      <c r="AN56" s="290" t="str">
        <f>IF(ISBLANK(AJ56),"",IFERROR((VLOOKUP(AH56,'Food List'!$C:$H,6,FALSE))*AJ56,""))</f>
        <v/>
      </c>
      <c r="AO56" s="13"/>
      <c r="AP56" s="277"/>
      <c r="AQ56" s="278"/>
      <c r="AR56" s="287"/>
      <c r="AS56" s="287" t="str">
        <f>IF(ISBLANK(AR56),"",IFERROR((VLOOKUP(AR56,'Food List'!$C:$H,2,FALSE)),""))</f>
        <v/>
      </c>
      <c r="AT56" s="287"/>
      <c r="AU56" s="288" t="str">
        <f>IF(ISBLANK(AT56),"",IFERROR((VLOOKUP(AR56,'Food List'!$C:$H,3,FALSE))*AT56,""))</f>
        <v/>
      </c>
      <c r="AV56" s="289" t="str">
        <f>IF(ISBLANK(AT56),"",IFERROR((VLOOKUP(AR56,'Food List'!$C:$H,4,FALSE))*AT56,""))</f>
        <v/>
      </c>
      <c r="AW56" s="290" t="str">
        <f>IF(ISBLANK(AT56),"",IFERROR((VLOOKUP(AR56,'Food List'!$C:$H,5,FALSE))*AT56,""))</f>
        <v/>
      </c>
      <c r="AX56" s="290" t="str">
        <f>IF(ISBLANK(AT56),"",IFERROR((VLOOKUP(AR56,'Food List'!$C:$H,6,FALSE))*AT56,""))</f>
        <v/>
      </c>
      <c r="AY56" s="318"/>
      <c r="AZ56" s="277"/>
      <c r="BA56" s="278"/>
      <c r="BB56" s="287"/>
      <c r="BC56" s="287" t="str">
        <f>IF(ISBLANK(BB56),"",IFERROR((VLOOKUP(BB56,'Food List'!$C:$H,2,FALSE)),""))</f>
        <v/>
      </c>
      <c r="BD56" s="287"/>
      <c r="BE56" s="288" t="str">
        <f>IF(ISBLANK(BD56),"",IFERROR((VLOOKUP(BB56,'Food List'!$C:$H,3,FALSE))*BD56,""))</f>
        <v/>
      </c>
      <c r="BF56" s="289" t="str">
        <f>IF(ISBLANK(BD56),"",IFERROR((VLOOKUP(BB56,'Food List'!$C:$H,4,FALSE))*BD56,""))</f>
        <v/>
      </c>
      <c r="BG56" s="290" t="str">
        <f>IF(ISBLANK(BD56),"",IFERROR((VLOOKUP(BB56,'Food List'!$C:$H,5,FALSE))*BD56,""))</f>
        <v/>
      </c>
      <c r="BH56" s="290" t="str">
        <f>IF(ISBLANK(BD56),"",IFERROR((VLOOKUP(BB56,'Food List'!$C:$H,6,FALSE))*BD56,""))</f>
        <v/>
      </c>
      <c r="BI56" s="318"/>
      <c r="BJ56" s="277"/>
      <c r="BK56" s="278"/>
      <c r="BL56" s="287"/>
      <c r="BM56" s="287" t="str">
        <f>IF(ISBLANK(BL56),"",IFERROR((VLOOKUP(BL56,'Food List'!$C:$H,2,FALSE)),""))</f>
        <v/>
      </c>
      <c r="BN56" s="287"/>
      <c r="BO56" s="288" t="str">
        <f>IF(ISBLANK(BN56),"",IFERROR((VLOOKUP(BL56,'Food List'!$C:$H,3,FALSE))*BN56,""))</f>
        <v/>
      </c>
      <c r="BP56" s="289" t="str">
        <f>IF(ISBLANK(BN56),"",IFERROR((VLOOKUP(BL56,'Food List'!$C:$H,4,FALSE))*BN56,""))</f>
        <v/>
      </c>
      <c r="BQ56" s="290" t="str">
        <f>IF(ISBLANK(BN56),"",IFERROR((VLOOKUP(BL56,'Food List'!$C:$H,5,FALSE))*BN56,""))</f>
        <v/>
      </c>
      <c r="BR56" s="290" t="str">
        <f>IF(ISBLANK(BN56),"",IFERROR((VLOOKUP(BL56,'Food List'!$C:$H,6,FALSE))*BN56,""))</f>
        <v/>
      </c>
      <c r="BS56" s="261"/>
    </row>
    <row r="57" ht="18.75" customHeight="1">
      <c r="A57" s="266"/>
      <c r="B57" s="291"/>
      <c r="C57" s="292"/>
      <c r="D57" s="293" t="s">
        <v>594</v>
      </c>
      <c r="E57" s="294"/>
      <c r="F57" s="295"/>
      <c r="G57" s="296">
        <f t="shared" ref="G57:J57" si="43">IFERROR(SUM(G53:G56),0)</f>
        <v>0</v>
      </c>
      <c r="H57" s="296">
        <f t="shared" si="43"/>
        <v>0</v>
      </c>
      <c r="I57" s="296">
        <f t="shared" si="43"/>
        <v>0</v>
      </c>
      <c r="J57" s="296">
        <f t="shared" si="43"/>
        <v>0</v>
      </c>
      <c r="K57" s="13"/>
      <c r="L57" s="291"/>
      <c r="M57" s="292"/>
      <c r="N57" s="293" t="s">
        <v>594</v>
      </c>
      <c r="O57" s="294"/>
      <c r="P57" s="295"/>
      <c r="Q57" s="296">
        <f t="shared" ref="Q57:T57" si="44">IFERROR(SUM(Q53:Q56),0)</f>
        <v>0</v>
      </c>
      <c r="R57" s="296">
        <f t="shared" si="44"/>
        <v>0</v>
      </c>
      <c r="S57" s="296">
        <f t="shared" si="44"/>
        <v>0</v>
      </c>
      <c r="T57" s="296">
        <f t="shared" si="44"/>
        <v>0</v>
      </c>
      <c r="U57" s="13"/>
      <c r="V57" s="291"/>
      <c r="W57" s="292"/>
      <c r="X57" s="293" t="s">
        <v>594</v>
      </c>
      <c r="Y57" s="294"/>
      <c r="Z57" s="295"/>
      <c r="AA57" s="296">
        <f t="shared" ref="AA57:AD57" si="45">IFERROR(SUM(AA53:AA56),0)</f>
        <v>0</v>
      </c>
      <c r="AB57" s="296">
        <f t="shared" si="45"/>
        <v>0</v>
      </c>
      <c r="AC57" s="296">
        <f t="shared" si="45"/>
        <v>0</v>
      </c>
      <c r="AD57" s="296">
        <f t="shared" si="45"/>
        <v>0</v>
      </c>
      <c r="AE57" s="13"/>
      <c r="AF57" s="291"/>
      <c r="AG57" s="292"/>
      <c r="AH57" s="293" t="s">
        <v>594</v>
      </c>
      <c r="AI57" s="294"/>
      <c r="AJ57" s="295"/>
      <c r="AK57" s="296">
        <f t="shared" ref="AK57:AN57" si="46">IFERROR(SUM(AK53:AK56),0)</f>
        <v>0</v>
      </c>
      <c r="AL57" s="296">
        <f t="shared" si="46"/>
        <v>0</v>
      </c>
      <c r="AM57" s="296">
        <f t="shared" si="46"/>
        <v>0</v>
      </c>
      <c r="AN57" s="296">
        <f t="shared" si="46"/>
        <v>0</v>
      </c>
      <c r="AO57" s="13"/>
      <c r="AP57" s="291"/>
      <c r="AQ57" s="292"/>
      <c r="AR57" s="293" t="s">
        <v>594</v>
      </c>
      <c r="AS57" s="294"/>
      <c r="AT57" s="295"/>
      <c r="AU57" s="296">
        <f t="shared" ref="AU57:AX57" si="47">IFERROR(SUM(AU53:AU56),0)</f>
        <v>0</v>
      </c>
      <c r="AV57" s="296">
        <f t="shared" si="47"/>
        <v>0</v>
      </c>
      <c r="AW57" s="296">
        <f t="shared" si="47"/>
        <v>0</v>
      </c>
      <c r="AX57" s="296">
        <f t="shared" si="47"/>
        <v>0</v>
      </c>
      <c r="AY57" s="319"/>
      <c r="AZ57" s="291"/>
      <c r="BA57" s="292"/>
      <c r="BB57" s="293" t="s">
        <v>594</v>
      </c>
      <c r="BC57" s="294"/>
      <c r="BD57" s="295"/>
      <c r="BE57" s="296">
        <f t="shared" ref="BE57:BH57" si="48">IFERROR(SUM(BE53:BE56),0)</f>
        <v>0</v>
      </c>
      <c r="BF57" s="296">
        <f t="shared" si="48"/>
        <v>0</v>
      </c>
      <c r="BG57" s="296">
        <f t="shared" si="48"/>
        <v>0</v>
      </c>
      <c r="BH57" s="296">
        <f t="shared" si="48"/>
        <v>0</v>
      </c>
      <c r="BI57" s="319"/>
      <c r="BJ57" s="291"/>
      <c r="BK57" s="292"/>
      <c r="BL57" s="293" t="s">
        <v>594</v>
      </c>
      <c r="BM57" s="294"/>
      <c r="BN57" s="295"/>
      <c r="BO57" s="296">
        <f t="shared" ref="BO57:BR57" si="49">IFERROR(SUM(BO53:BO56),0)</f>
        <v>0</v>
      </c>
      <c r="BP57" s="296">
        <f t="shared" si="49"/>
        <v>0</v>
      </c>
      <c r="BQ57" s="296">
        <f t="shared" si="49"/>
        <v>0</v>
      </c>
      <c r="BR57" s="296">
        <f t="shared" si="49"/>
        <v>0</v>
      </c>
      <c r="BS57" s="257"/>
    </row>
    <row r="58" ht="22.5" customHeight="1">
      <c r="A58" s="247"/>
      <c r="B58" s="262"/>
      <c r="J58" s="258"/>
      <c r="K58" s="13"/>
      <c r="L58" s="262"/>
      <c r="T58" s="14"/>
      <c r="U58" s="13"/>
      <c r="V58" s="262"/>
      <c r="AD58" s="14"/>
      <c r="AE58" s="13"/>
      <c r="AF58" s="262"/>
      <c r="AN58" s="14"/>
      <c r="AO58" s="13"/>
      <c r="AP58" s="262"/>
      <c r="AX58" s="14"/>
      <c r="AY58" s="13"/>
      <c r="AZ58" s="262"/>
      <c r="BH58" s="14"/>
      <c r="BI58" s="13"/>
      <c r="BJ58" s="262"/>
      <c r="BR58" s="14"/>
      <c r="BS58" s="147"/>
    </row>
    <row r="59" ht="26.25" customHeight="1">
      <c r="A59" s="266"/>
      <c r="B59" s="305" t="s">
        <v>609</v>
      </c>
      <c r="C59" s="294"/>
      <c r="D59" s="294"/>
      <c r="E59" s="294"/>
      <c r="F59" s="295"/>
      <c r="G59" s="306">
        <f t="shared" ref="G59:J59" si="50">G19+G27+G35+G43+G51+G57</f>
        <v>1469.1</v>
      </c>
      <c r="H59" s="306">
        <f t="shared" si="50"/>
        <v>134.02</v>
      </c>
      <c r="I59" s="306">
        <f t="shared" si="50"/>
        <v>156.35</v>
      </c>
      <c r="J59" s="306">
        <f t="shared" si="50"/>
        <v>34.05</v>
      </c>
      <c r="K59" s="21"/>
      <c r="L59" s="305" t="s">
        <v>609</v>
      </c>
      <c r="M59" s="294"/>
      <c r="N59" s="294"/>
      <c r="O59" s="294"/>
      <c r="P59" s="295"/>
      <c r="Q59" s="306">
        <f t="shared" ref="Q59:T59" si="51">Q19+Q27+Q35+Q43+Q51+Q57</f>
        <v>1135</v>
      </c>
      <c r="R59" s="306">
        <f t="shared" si="51"/>
        <v>90.05</v>
      </c>
      <c r="S59" s="306">
        <f t="shared" si="51"/>
        <v>93.6</v>
      </c>
      <c r="T59" s="306">
        <f t="shared" si="51"/>
        <v>44.35</v>
      </c>
      <c r="U59" s="21"/>
      <c r="V59" s="305" t="s">
        <v>609</v>
      </c>
      <c r="W59" s="294"/>
      <c r="X59" s="294"/>
      <c r="Y59" s="294"/>
      <c r="Z59" s="295"/>
      <c r="AA59" s="306">
        <f t="shared" ref="AA59:AD59" si="52">AA19+AA27+AA35+AA43+AA51+AA57</f>
        <v>922.1</v>
      </c>
      <c r="AB59" s="306">
        <f t="shared" si="52"/>
        <v>110.12</v>
      </c>
      <c r="AC59" s="306">
        <f t="shared" si="52"/>
        <v>93.8</v>
      </c>
      <c r="AD59" s="306">
        <f t="shared" si="52"/>
        <v>10.8</v>
      </c>
      <c r="AE59" s="21"/>
      <c r="AF59" s="305" t="s">
        <v>609</v>
      </c>
      <c r="AG59" s="294"/>
      <c r="AH59" s="294"/>
      <c r="AI59" s="294"/>
      <c r="AJ59" s="295"/>
      <c r="AK59" s="306">
        <f t="shared" ref="AK59:AN59" si="53">AK19+AK27+AK35+AK43+AK51+AK57</f>
        <v>0</v>
      </c>
      <c r="AL59" s="306">
        <f t="shared" si="53"/>
        <v>0</v>
      </c>
      <c r="AM59" s="306">
        <f t="shared" si="53"/>
        <v>0</v>
      </c>
      <c r="AN59" s="306">
        <f t="shared" si="53"/>
        <v>0</v>
      </c>
      <c r="AO59" s="320"/>
      <c r="AP59" s="305" t="s">
        <v>609</v>
      </c>
      <c r="AQ59" s="294"/>
      <c r="AR59" s="294"/>
      <c r="AS59" s="294"/>
      <c r="AT59" s="295"/>
      <c r="AU59" s="306">
        <f t="shared" ref="AU59:AX59" si="54">AU19+AU27+AU35+AU43+AU51+AU57</f>
        <v>0</v>
      </c>
      <c r="AV59" s="306">
        <f t="shared" si="54"/>
        <v>0</v>
      </c>
      <c r="AW59" s="306">
        <f t="shared" si="54"/>
        <v>0</v>
      </c>
      <c r="AX59" s="306">
        <f t="shared" si="54"/>
        <v>0</v>
      </c>
      <c r="AY59" s="21"/>
      <c r="AZ59" s="305" t="s">
        <v>609</v>
      </c>
      <c r="BA59" s="294"/>
      <c r="BB59" s="294"/>
      <c r="BC59" s="294"/>
      <c r="BD59" s="295"/>
      <c r="BE59" s="306">
        <f t="shared" ref="BE59:BH59" si="55">BE19+BE27+BE35+BE43+BE51+BE57</f>
        <v>0</v>
      </c>
      <c r="BF59" s="306">
        <f t="shared" si="55"/>
        <v>0</v>
      </c>
      <c r="BG59" s="306">
        <f t="shared" si="55"/>
        <v>0</v>
      </c>
      <c r="BH59" s="306">
        <f t="shared" si="55"/>
        <v>0</v>
      </c>
      <c r="BI59" s="21"/>
      <c r="BJ59" s="305" t="s">
        <v>609</v>
      </c>
      <c r="BK59" s="294"/>
      <c r="BL59" s="294"/>
      <c r="BM59" s="294"/>
      <c r="BN59" s="295"/>
      <c r="BO59" s="306">
        <f t="shared" ref="BO59:BR59" si="56">BO19+BO27+BO35+BO43+BO51+BO57</f>
        <v>0</v>
      </c>
      <c r="BP59" s="306">
        <f t="shared" si="56"/>
        <v>0</v>
      </c>
      <c r="BQ59" s="306">
        <f t="shared" si="56"/>
        <v>0</v>
      </c>
      <c r="BR59" s="306">
        <f t="shared" si="56"/>
        <v>0</v>
      </c>
      <c r="BS59" s="147"/>
    </row>
    <row r="60" ht="33.75" customHeight="1">
      <c r="A60" s="307"/>
      <c r="B60" s="308" t="s">
        <v>464</v>
      </c>
      <c r="C60" s="299"/>
      <c r="D60" s="299"/>
      <c r="E60" s="299"/>
      <c r="F60" s="299"/>
      <c r="G60" s="299"/>
      <c r="H60" s="299"/>
      <c r="I60" s="299"/>
      <c r="J60" s="299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3"/>
      <c r="BS60" s="152"/>
    </row>
  </sheetData>
  <mergeCells count="167">
    <mergeCell ref="B45:C51"/>
    <mergeCell ref="L45:M51"/>
    <mergeCell ref="D51:F51"/>
    <mergeCell ref="L11:T11"/>
    <mergeCell ref="U11:U12"/>
    <mergeCell ref="B13:C19"/>
    <mergeCell ref="K13:K59"/>
    <mergeCell ref="U13:U59"/>
    <mergeCell ref="B21:C27"/>
    <mergeCell ref="L52:T52"/>
    <mergeCell ref="L59:P59"/>
    <mergeCell ref="B37:C43"/>
    <mergeCell ref="L37:M43"/>
    <mergeCell ref="B44:J44"/>
    <mergeCell ref="L44:T44"/>
    <mergeCell ref="N51:P51"/>
    <mergeCell ref="B52:J52"/>
    <mergeCell ref="B29:C35"/>
    <mergeCell ref="B53:C57"/>
    <mergeCell ref="L53:M57"/>
    <mergeCell ref="D57:F57"/>
    <mergeCell ref="N57:P57"/>
    <mergeCell ref="B58:J58"/>
    <mergeCell ref="L58:T58"/>
    <mergeCell ref="B59:F59"/>
    <mergeCell ref="AF21:AG27"/>
    <mergeCell ref="AH27:AJ27"/>
    <mergeCell ref="AF13:AG19"/>
    <mergeCell ref="AF29:AG35"/>
    <mergeCell ref="AH35:AJ35"/>
    <mergeCell ref="AF36:AN36"/>
    <mergeCell ref="AF37:AG43"/>
    <mergeCell ref="AH43:AJ43"/>
    <mergeCell ref="AF44:AN44"/>
    <mergeCell ref="AF45:AG51"/>
    <mergeCell ref="AH51:AJ51"/>
    <mergeCell ref="AF52:AN52"/>
    <mergeCell ref="AF53:AG57"/>
    <mergeCell ref="AH57:AJ57"/>
    <mergeCell ref="AF58:AN58"/>
    <mergeCell ref="AF59:AJ59"/>
    <mergeCell ref="AF11:AN11"/>
    <mergeCell ref="AO11:AO12"/>
    <mergeCell ref="AF12:AG12"/>
    <mergeCell ref="AO13:AO59"/>
    <mergeCell ref="AH19:AJ19"/>
    <mergeCell ref="AF20:AN20"/>
    <mergeCell ref="AF28:AN28"/>
    <mergeCell ref="AZ21:BA27"/>
    <mergeCell ref="BB27:BD27"/>
    <mergeCell ref="AZ13:BA19"/>
    <mergeCell ref="AZ29:BA35"/>
    <mergeCell ref="BB35:BD35"/>
    <mergeCell ref="AZ36:BH36"/>
    <mergeCell ref="AZ37:BA43"/>
    <mergeCell ref="BB43:BD43"/>
    <mergeCell ref="AZ44:BH44"/>
    <mergeCell ref="AZ45:BA51"/>
    <mergeCell ref="BB51:BD51"/>
    <mergeCell ref="AZ52:BH52"/>
    <mergeCell ref="AZ53:BA57"/>
    <mergeCell ref="BB57:BD57"/>
    <mergeCell ref="AZ58:BH58"/>
    <mergeCell ref="AZ59:BD59"/>
    <mergeCell ref="AZ11:BH11"/>
    <mergeCell ref="BI11:BI12"/>
    <mergeCell ref="AZ12:BA12"/>
    <mergeCell ref="BI13:BI59"/>
    <mergeCell ref="BB19:BD19"/>
    <mergeCell ref="AZ20:BH20"/>
    <mergeCell ref="AZ28:BH28"/>
    <mergeCell ref="V13:W19"/>
    <mergeCell ref="V29:W35"/>
    <mergeCell ref="X35:Z35"/>
    <mergeCell ref="V36:AD36"/>
    <mergeCell ref="V37:W43"/>
    <mergeCell ref="X43:Z43"/>
    <mergeCell ref="V44:AD44"/>
    <mergeCell ref="V45:W51"/>
    <mergeCell ref="X51:Z51"/>
    <mergeCell ref="V52:AD52"/>
    <mergeCell ref="V53:W57"/>
    <mergeCell ref="X57:Z57"/>
    <mergeCell ref="V58:AD58"/>
    <mergeCell ref="V59:Z59"/>
    <mergeCell ref="V11:AD11"/>
    <mergeCell ref="AE11:AE12"/>
    <mergeCell ref="V12:W12"/>
    <mergeCell ref="AE13:AE59"/>
    <mergeCell ref="X19:Z19"/>
    <mergeCell ref="V20:AD20"/>
    <mergeCell ref="V28:AD28"/>
    <mergeCell ref="BJ13:BK19"/>
    <mergeCell ref="BJ29:BK35"/>
    <mergeCell ref="BL35:BN35"/>
    <mergeCell ref="BJ36:BR36"/>
    <mergeCell ref="BJ37:BK43"/>
    <mergeCell ref="BL43:BN43"/>
    <mergeCell ref="BJ44:BR44"/>
    <mergeCell ref="BJ45:BK51"/>
    <mergeCell ref="BL51:BN51"/>
    <mergeCell ref="BJ52:BR52"/>
    <mergeCell ref="BJ53:BK57"/>
    <mergeCell ref="BL57:BN57"/>
    <mergeCell ref="BJ58:BR58"/>
    <mergeCell ref="BJ59:BN59"/>
    <mergeCell ref="BJ11:BR11"/>
    <mergeCell ref="BS11:BS12"/>
    <mergeCell ref="BJ12:BK12"/>
    <mergeCell ref="BS13:BS60"/>
    <mergeCell ref="BL19:BN19"/>
    <mergeCell ref="BJ20:BR20"/>
    <mergeCell ref="BJ28:BR28"/>
    <mergeCell ref="B20:J20"/>
    <mergeCell ref="L20:T20"/>
    <mergeCell ref="L13:M19"/>
    <mergeCell ref="L21:M27"/>
    <mergeCell ref="D27:F27"/>
    <mergeCell ref="N27:P27"/>
    <mergeCell ref="B28:J28"/>
    <mergeCell ref="L28:T28"/>
    <mergeCell ref="L12:M12"/>
    <mergeCell ref="L29:M35"/>
    <mergeCell ref="D35:F35"/>
    <mergeCell ref="N35:P35"/>
    <mergeCell ref="B36:J36"/>
    <mergeCell ref="L36:T36"/>
    <mergeCell ref="AP13:AQ19"/>
    <mergeCell ref="AP29:AQ35"/>
    <mergeCell ref="AP44:AX44"/>
    <mergeCell ref="AP45:AQ51"/>
    <mergeCell ref="AR51:AT51"/>
    <mergeCell ref="AP52:AX52"/>
    <mergeCell ref="AP53:AQ57"/>
    <mergeCell ref="AR57:AT57"/>
    <mergeCell ref="AP58:AX58"/>
    <mergeCell ref="AP59:AT59"/>
    <mergeCell ref="AP11:AX11"/>
    <mergeCell ref="AY11:AY12"/>
    <mergeCell ref="AP12:AQ12"/>
    <mergeCell ref="AY13:AY59"/>
    <mergeCell ref="AR19:AT19"/>
    <mergeCell ref="AP20:AX20"/>
    <mergeCell ref="AP28:AX28"/>
    <mergeCell ref="B1:D10"/>
    <mergeCell ref="E1:J1"/>
    <mergeCell ref="K1:K12"/>
    <mergeCell ref="L1:BS10"/>
    <mergeCell ref="J2:J9"/>
    <mergeCell ref="E10:J10"/>
    <mergeCell ref="B11:J11"/>
    <mergeCell ref="B12:C12"/>
    <mergeCell ref="D19:F19"/>
    <mergeCell ref="N19:P19"/>
    <mergeCell ref="D43:F43"/>
    <mergeCell ref="N43:P43"/>
    <mergeCell ref="V21:W27"/>
    <mergeCell ref="X27:Z27"/>
    <mergeCell ref="AP21:AQ27"/>
    <mergeCell ref="AR27:AT27"/>
    <mergeCell ref="BJ21:BK27"/>
    <mergeCell ref="BL27:BN27"/>
    <mergeCell ref="AR35:AT35"/>
    <mergeCell ref="AP36:AX36"/>
    <mergeCell ref="AP37:AQ43"/>
    <mergeCell ref="AR43:AT43"/>
    <mergeCell ref="B60:BR60"/>
  </mergeCells>
  <dataValidations>
    <dataValidation type="list" allowBlank="1" sqref="D13:D18 N13:N18 X13:X18 AH13:AH18 AR13:AR18 BB13:BB18 BL13:BL18 D21:D26 N21:N26 X21:X26 AH21:AH26 AR21:AR26 BB21:BB26 BL21:BL26 D29:D34 N29:N34 X29:X34 AH29:AH34 AR29:AR34 BB29:BB34 BL29:BL34 D37:D42 N37:N42 X37:X42 AH37:AH42 AR37:AR42 BB37:BB42 BL37:BL42 D45:D50 N45:N50 X45:X50 AH45:AH50 AR45:AR50 BB45:BB50 BL45:BL50 D53:D56 N53:N56 X53:X56 AH53:AH56 AR53:AR56 BB53:BB56 BL53:BL56">
      <formula1>'Food List'!$C:$C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6.38"/>
    <col customWidth="1" min="2" max="2" width="7.63"/>
    <col customWidth="1" min="3" max="3" width="30.63"/>
    <col customWidth="1" min="4" max="9" width="22.63"/>
    <col customWidth="1" min="10" max="10" width="6.38"/>
  </cols>
  <sheetData>
    <row r="1" ht="18.75" customHeight="1">
      <c r="A1" s="321"/>
      <c r="B1" s="322" t="s">
        <v>631</v>
      </c>
      <c r="C1" s="5"/>
      <c r="D1" s="5"/>
      <c r="E1" s="5"/>
      <c r="F1" s="5"/>
      <c r="G1" s="5"/>
      <c r="H1" s="5"/>
      <c r="I1" s="5"/>
      <c r="J1" s="6"/>
    </row>
    <row r="2" ht="18.75" customHeight="1">
      <c r="A2" s="321"/>
      <c r="B2" s="13"/>
      <c r="J2" s="14"/>
    </row>
    <row r="3" ht="18.75" customHeight="1">
      <c r="A3" s="321"/>
      <c r="B3" s="13"/>
      <c r="J3" s="14"/>
    </row>
    <row r="4" ht="18.75" customHeight="1">
      <c r="A4" s="321"/>
      <c r="B4" s="13"/>
      <c r="J4" s="14"/>
    </row>
    <row r="5" ht="18.75" customHeight="1">
      <c r="A5" s="321"/>
      <c r="B5" s="13"/>
      <c r="J5" s="14"/>
    </row>
    <row r="6" ht="18.75" customHeight="1">
      <c r="A6" s="321"/>
      <c r="B6" s="21"/>
      <c r="C6" s="22"/>
      <c r="D6" s="22"/>
      <c r="E6" s="22"/>
      <c r="F6" s="22"/>
      <c r="G6" s="22"/>
      <c r="H6" s="22"/>
      <c r="I6" s="22"/>
      <c r="J6" s="23"/>
    </row>
    <row r="7" ht="22.5" customHeight="1">
      <c r="A7" s="266"/>
      <c r="B7" s="255" t="s">
        <v>632</v>
      </c>
      <c r="C7" s="255" t="s">
        <v>633</v>
      </c>
      <c r="D7" s="255" t="s">
        <v>584</v>
      </c>
      <c r="E7" s="255" t="s">
        <v>634</v>
      </c>
      <c r="F7" s="255" t="s">
        <v>635</v>
      </c>
      <c r="G7" s="255" t="s">
        <v>636</v>
      </c>
      <c r="H7" s="255" t="s">
        <v>637</v>
      </c>
      <c r="I7" s="255" t="s">
        <v>638</v>
      </c>
      <c r="J7" s="323"/>
    </row>
    <row r="8">
      <c r="A8" s="266"/>
      <c r="B8" s="324">
        <v>1.0</v>
      </c>
      <c r="C8" s="325" t="s">
        <v>639</v>
      </c>
      <c r="D8" s="326" t="s">
        <v>640</v>
      </c>
      <c r="E8" s="326">
        <v>145.0</v>
      </c>
      <c r="F8" s="326">
        <v>32.0</v>
      </c>
      <c r="G8" s="326">
        <v>0.0</v>
      </c>
      <c r="H8" s="326">
        <v>1.9</v>
      </c>
      <c r="I8" s="326" t="s">
        <v>641</v>
      </c>
      <c r="J8" s="327"/>
    </row>
    <row r="9">
      <c r="A9" s="266"/>
      <c r="B9" s="328">
        <v>2.0</v>
      </c>
      <c r="C9" s="329" t="s">
        <v>596</v>
      </c>
      <c r="D9" s="279" t="s">
        <v>640</v>
      </c>
      <c r="E9" s="279">
        <v>106.0</v>
      </c>
      <c r="F9" s="279">
        <v>24.0</v>
      </c>
      <c r="G9" s="279">
        <v>0.0</v>
      </c>
      <c r="H9" s="279">
        <v>1.1</v>
      </c>
      <c r="I9" s="279" t="s">
        <v>642</v>
      </c>
      <c r="J9" s="14"/>
    </row>
    <row r="10">
      <c r="A10" s="266"/>
      <c r="B10" s="324">
        <v>3.0</v>
      </c>
      <c r="C10" s="330" t="s">
        <v>643</v>
      </c>
      <c r="D10" s="331" t="s">
        <v>640</v>
      </c>
      <c r="E10" s="331">
        <v>137.0</v>
      </c>
      <c r="F10" s="331">
        <v>24.7</v>
      </c>
      <c r="G10" s="331">
        <v>0.0</v>
      </c>
      <c r="H10" s="331">
        <v>4.2</v>
      </c>
      <c r="I10" s="331" t="s">
        <v>641</v>
      </c>
      <c r="J10" s="14"/>
    </row>
    <row r="11">
      <c r="A11" s="266"/>
      <c r="B11" s="328">
        <v>4.0</v>
      </c>
      <c r="C11" s="330" t="s">
        <v>628</v>
      </c>
      <c r="D11" s="331" t="s">
        <v>640</v>
      </c>
      <c r="E11" s="331">
        <v>125.0</v>
      </c>
      <c r="F11" s="331">
        <v>21.9</v>
      </c>
      <c r="G11" s="331">
        <v>0.0</v>
      </c>
      <c r="H11" s="331">
        <v>4.2</v>
      </c>
      <c r="I11" s="331" t="s">
        <v>642</v>
      </c>
      <c r="J11" s="14"/>
    </row>
    <row r="12">
      <c r="A12" s="266"/>
      <c r="B12" s="324">
        <v>5.0</v>
      </c>
      <c r="C12" s="330" t="s">
        <v>644</v>
      </c>
      <c r="D12" s="331" t="s">
        <v>640</v>
      </c>
      <c r="E12" s="331">
        <v>239.0</v>
      </c>
      <c r="F12" s="331">
        <v>24.6</v>
      </c>
      <c r="G12" s="331">
        <v>0.0</v>
      </c>
      <c r="H12" s="331">
        <v>15.6</v>
      </c>
      <c r="I12" s="331" t="s">
        <v>641</v>
      </c>
      <c r="J12" s="14"/>
    </row>
    <row r="13">
      <c r="A13" s="266"/>
      <c r="B13" s="328">
        <v>6.0</v>
      </c>
      <c r="C13" s="330" t="s">
        <v>601</v>
      </c>
      <c r="D13" s="331" t="s">
        <v>640</v>
      </c>
      <c r="E13" s="331">
        <v>179.0</v>
      </c>
      <c r="F13" s="331">
        <v>22.1</v>
      </c>
      <c r="G13" s="331">
        <v>0.0</v>
      </c>
      <c r="H13" s="331">
        <v>10.1</v>
      </c>
      <c r="I13" s="331" t="s">
        <v>642</v>
      </c>
      <c r="J13" s="14"/>
    </row>
    <row r="14">
      <c r="A14" s="266"/>
      <c r="B14" s="324">
        <v>7.0</v>
      </c>
      <c r="C14" s="330" t="s">
        <v>645</v>
      </c>
      <c r="D14" s="331" t="s">
        <v>640</v>
      </c>
      <c r="E14" s="331">
        <v>188.0</v>
      </c>
      <c r="F14" s="331">
        <v>29.1</v>
      </c>
      <c r="G14" s="331">
        <v>0.0</v>
      </c>
      <c r="H14" s="331">
        <v>8.0</v>
      </c>
      <c r="I14" s="331" t="s">
        <v>641</v>
      </c>
      <c r="J14" s="14"/>
    </row>
    <row r="15">
      <c r="A15" s="266"/>
      <c r="B15" s="328">
        <v>8.0</v>
      </c>
      <c r="C15" s="330" t="s">
        <v>630</v>
      </c>
      <c r="D15" s="331" t="s">
        <v>640</v>
      </c>
      <c r="E15" s="331">
        <v>140.0</v>
      </c>
      <c r="F15" s="331">
        <v>21.2</v>
      </c>
      <c r="G15" s="331">
        <v>0.0</v>
      </c>
      <c r="H15" s="331">
        <v>6.1</v>
      </c>
      <c r="I15" s="331" t="s">
        <v>642</v>
      </c>
      <c r="J15" s="14"/>
    </row>
    <row r="16">
      <c r="A16" s="266"/>
      <c r="B16" s="324">
        <v>9.0</v>
      </c>
      <c r="C16" s="330" t="s">
        <v>646</v>
      </c>
      <c r="D16" s="279" t="s">
        <v>640</v>
      </c>
      <c r="E16" s="331">
        <v>106.0</v>
      </c>
      <c r="F16" s="331">
        <v>24.6</v>
      </c>
      <c r="G16" s="331">
        <v>0.0</v>
      </c>
      <c r="H16" s="331">
        <v>0.8</v>
      </c>
      <c r="I16" s="331" t="s">
        <v>641</v>
      </c>
      <c r="J16" s="14"/>
    </row>
    <row r="17">
      <c r="A17" s="266"/>
      <c r="B17" s="328">
        <v>10.0</v>
      </c>
      <c r="C17" s="330" t="s">
        <v>647</v>
      </c>
      <c r="D17" s="279" t="s">
        <v>640</v>
      </c>
      <c r="E17" s="331">
        <v>75.0</v>
      </c>
      <c r="F17" s="331">
        <v>17.5</v>
      </c>
      <c r="G17" s="331">
        <v>0.0</v>
      </c>
      <c r="H17" s="331">
        <v>0.6</v>
      </c>
      <c r="I17" s="331" t="s">
        <v>642</v>
      </c>
      <c r="J17" s="14"/>
    </row>
    <row r="18">
      <c r="A18" s="266"/>
      <c r="B18" s="324">
        <v>11.0</v>
      </c>
      <c r="C18" s="330" t="s">
        <v>648</v>
      </c>
      <c r="D18" s="331" t="s">
        <v>640</v>
      </c>
      <c r="E18" s="331">
        <v>98.0</v>
      </c>
      <c r="F18" s="331">
        <v>23.9</v>
      </c>
      <c r="G18" s="331">
        <v>0.0</v>
      </c>
      <c r="H18" s="331">
        <v>0.3</v>
      </c>
      <c r="I18" s="331" t="s">
        <v>641</v>
      </c>
      <c r="J18" s="14"/>
    </row>
    <row r="19">
      <c r="A19" s="266"/>
      <c r="B19" s="328">
        <v>12.0</v>
      </c>
      <c r="C19" s="330" t="s">
        <v>649</v>
      </c>
      <c r="D19" s="331" t="s">
        <v>640</v>
      </c>
      <c r="E19" s="331">
        <v>75.0</v>
      </c>
      <c r="F19" s="331">
        <v>17.8</v>
      </c>
      <c r="G19" s="331">
        <v>0.0</v>
      </c>
      <c r="H19" s="331">
        <v>0.4</v>
      </c>
      <c r="I19" s="331" t="s">
        <v>642</v>
      </c>
      <c r="J19" s="14"/>
    </row>
    <row r="20">
      <c r="A20" s="266"/>
      <c r="B20" s="324">
        <v>13.0</v>
      </c>
      <c r="C20" s="330" t="s">
        <v>650</v>
      </c>
      <c r="D20" s="331" t="s">
        <v>640</v>
      </c>
      <c r="E20" s="331">
        <v>70.0</v>
      </c>
      <c r="F20" s="331">
        <v>15.4</v>
      </c>
      <c r="G20" s="331">
        <v>0.0</v>
      </c>
      <c r="H20" s="331">
        <v>0.9</v>
      </c>
      <c r="I20" s="331" t="s">
        <v>641</v>
      </c>
      <c r="J20" s="14"/>
    </row>
    <row r="21">
      <c r="A21" s="266"/>
      <c r="B21" s="328">
        <v>14.0</v>
      </c>
      <c r="C21" s="330" t="s">
        <v>651</v>
      </c>
      <c r="D21" s="331" t="s">
        <v>640</v>
      </c>
      <c r="E21" s="331">
        <v>62.0</v>
      </c>
      <c r="F21" s="331">
        <v>14.1</v>
      </c>
      <c r="G21" s="331">
        <v>0.0</v>
      </c>
      <c r="H21" s="331">
        <v>0.5</v>
      </c>
      <c r="I21" s="331" t="s">
        <v>642</v>
      </c>
      <c r="J21" s="14"/>
    </row>
    <row r="22">
      <c r="A22" s="266"/>
      <c r="B22" s="324">
        <v>15.0</v>
      </c>
      <c r="C22" s="330" t="s">
        <v>652</v>
      </c>
      <c r="D22" s="331" t="s">
        <v>640</v>
      </c>
      <c r="E22" s="331">
        <v>109.0</v>
      </c>
      <c r="F22" s="331">
        <v>25.0</v>
      </c>
      <c r="G22" s="331">
        <v>0.0</v>
      </c>
      <c r="H22" s="331">
        <v>1.0</v>
      </c>
      <c r="I22" s="331" t="s">
        <v>653</v>
      </c>
      <c r="J22" s="14"/>
    </row>
    <row r="23">
      <c r="A23" s="266"/>
      <c r="B23" s="328">
        <v>16.0</v>
      </c>
      <c r="C23" s="330" t="s">
        <v>590</v>
      </c>
      <c r="D23" s="331" t="s">
        <v>654</v>
      </c>
      <c r="E23" s="331">
        <v>72.0</v>
      </c>
      <c r="F23" s="331">
        <v>6.0</v>
      </c>
      <c r="G23" s="331">
        <v>0.4</v>
      </c>
      <c r="H23" s="331">
        <v>4.8</v>
      </c>
      <c r="I23" s="331" t="s">
        <v>642</v>
      </c>
      <c r="J23" s="14"/>
    </row>
    <row r="24">
      <c r="A24" s="266"/>
      <c r="B24" s="324">
        <v>17.0</v>
      </c>
      <c r="C24" s="330" t="s">
        <v>655</v>
      </c>
      <c r="D24" s="279" t="s">
        <v>640</v>
      </c>
      <c r="E24" s="331">
        <v>43.0</v>
      </c>
      <c r="F24" s="331">
        <v>10.8</v>
      </c>
      <c r="G24" s="331">
        <v>0.0</v>
      </c>
      <c r="H24" s="331">
        <v>0.0</v>
      </c>
      <c r="I24" s="331" t="s">
        <v>642</v>
      </c>
      <c r="J24" s="14"/>
    </row>
    <row r="25">
      <c r="A25" s="266"/>
      <c r="B25" s="328">
        <v>18.0</v>
      </c>
      <c r="C25" s="330" t="s">
        <v>624</v>
      </c>
      <c r="D25" s="331" t="s">
        <v>640</v>
      </c>
      <c r="E25" s="331">
        <v>58.0</v>
      </c>
      <c r="F25" s="331">
        <v>10.6</v>
      </c>
      <c r="G25" s="331">
        <v>3.9</v>
      </c>
      <c r="H25" s="331">
        <v>0.0</v>
      </c>
      <c r="I25" s="331" t="s">
        <v>642</v>
      </c>
      <c r="J25" s="14"/>
    </row>
    <row r="26">
      <c r="A26" s="266"/>
      <c r="B26" s="324">
        <v>19.0</v>
      </c>
      <c r="C26" s="330" t="s">
        <v>656</v>
      </c>
      <c r="D26" s="331" t="s">
        <v>640</v>
      </c>
      <c r="E26" s="331">
        <v>117.0</v>
      </c>
      <c r="F26" s="331">
        <v>9.8</v>
      </c>
      <c r="G26" s="331">
        <v>3.8</v>
      </c>
      <c r="H26" s="331">
        <v>7.0</v>
      </c>
      <c r="I26" s="331" t="s">
        <v>642</v>
      </c>
      <c r="J26" s="14"/>
    </row>
    <row r="27">
      <c r="A27" s="266"/>
      <c r="B27" s="328">
        <v>20.0</v>
      </c>
      <c r="C27" s="330" t="s">
        <v>657</v>
      </c>
      <c r="D27" s="331" t="s">
        <v>640</v>
      </c>
      <c r="E27" s="331">
        <v>47.0</v>
      </c>
      <c r="F27" s="331">
        <v>4.1</v>
      </c>
      <c r="G27" s="331">
        <v>2.4</v>
      </c>
      <c r="H27" s="331">
        <v>2.3</v>
      </c>
      <c r="I27" s="331" t="s">
        <v>642</v>
      </c>
      <c r="J27" s="14"/>
    </row>
    <row r="28">
      <c r="A28" s="266"/>
      <c r="B28" s="324">
        <v>21.0</v>
      </c>
      <c r="C28" s="330" t="s">
        <v>593</v>
      </c>
      <c r="D28" s="331" t="s">
        <v>640</v>
      </c>
      <c r="E28" s="331">
        <v>379.0</v>
      </c>
      <c r="F28" s="331">
        <v>90.0</v>
      </c>
      <c r="G28" s="331">
        <v>1.4</v>
      </c>
      <c r="H28" s="331">
        <v>1.5</v>
      </c>
      <c r="I28" s="331" t="s">
        <v>642</v>
      </c>
      <c r="J28" s="14"/>
    </row>
    <row r="29">
      <c r="A29" s="266"/>
      <c r="B29" s="328">
        <v>22.0</v>
      </c>
      <c r="C29" s="330" t="s">
        <v>658</v>
      </c>
      <c r="D29" s="331" t="s">
        <v>640</v>
      </c>
      <c r="E29" s="331">
        <v>358.0</v>
      </c>
      <c r="F29" s="331">
        <v>66.0</v>
      </c>
      <c r="G29" s="331">
        <v>10.3</v>
      </c>
      <c r="H29" s="331">
        <v>6.1</v>
      </c>
      <c r="I29" s="331" t="s">
        <v>642</v>
      </c>
      <c r="J29" s="14"/>
    </row>
    <row r="30">
      <c r="A30" s="266"/>
      <c r="B30" s="324">
        <v>23.0</v>
      </c>
      <c r="C30" s="330" t="s">
        <v>659</v>
      </c>
      <c r="D30" s="331" t="s">
        <v>640</v>
      </c>
      <c r="E30" s="331">
        <v>387.0</v>
      </c>
      <c r="F30" s="331">
        <v>88.0</v>
      </c>
      <c r="G30" s="331">
        <v>1.4</v>
      </c>
      <c r="H30" s="331">
        <v>3.3</v>
      </c>
      <c r="I30" s="331" t="s">
        <v>642</v>
      </c>
      <c r="J30" s="14"/>
    </row>
    <row r="31">
      <c r="A31" s="266"/>
      <c r="B31" s="328">
        <v>24.0</v>
      </c>
      <c r="C31" s="330" t="s">
        <v>660</v>
      </c>
      <c r="D31" s="331" t="s">
        <v>640</v>
      </c>
      <c r="E31" s="331">
        <v>377.0</v>
      </c>
      <c r="F31" s="331">
        <v>90.0</v>
      </c>
      <c r="G31" s="331">
        <v>1.4</v>
      </c>
      <c r="H31" s="331">
        <v>1.3</v>
      </c>
      <c r="I31" s="331" t="s">
        <v>642</v>
      </c>
      <c r="J31" s="14"/>
    </row>
    <row r="32">
      <c r="A32" s="266"/>
      <c r="B32" s="324">
        <v>25.0</v>
      </c>
      <c r="C32" s="332" t="s">
        <v>661</v>
      </c>
      <c r="D32" s="331" t="s">
        <v>640</v>
      </c>
      <c r="E32" s="331">
        <v>103.0</v>
      </c>
      <c r="F32" s="331">
        <v>8.8</v>
      </c>
      <c r="G32" s="331">
        <v>15.4</v>
      </c>
      <c r="H32" s="331">
        <v>0.7</v>
      </c>
      <c r="I32" s="331" t="s">
        <v>653</v>
      </c>
      <c r="J32" s="14"/>
    </row>
    <row r="33">
      <c r="A33" s="266"/>
      <c r="B33" s="328">
        <v>26.0</v>
      </c>
      <c r="C33" s="332" t="s">
        <v>662</v>
      </c>
      <c r="D33" s="331" t="s">
        <v>640</v>
      </c>
      <c r="E33" s="331">
        <v>114.0</v>
      </c>
      <c r="F33" s="331">
        <v>7.2</v>
      </c>
      <c r="G33" s="331">
        <v>14.7</v>
      </c>
      <c r="H33" s="331">
        <v>2.9</v>
      </c>
      <c r="I33" s="331" t="s">
        <v>653</v>
      </c>
      <c r="J33" s="14"/>
    </row>
    <row r="34">
      <c r="A34" s="266"/>
      <c r="B34" s="324">
        <v>27.0</v>
      </c>
      <c r="C34" s="332" t="s">
        <v>663</v>
      </c>
      <c r="D34" s="331" t="s">
        <v>640</v>
      </c>
      <c r="E34" s="331">
        <v>104.0</v>
      </c>
      <c r="F34" s="331">
        <v>7.3</v>
      </c>
      <c r="G34" s="331">
        <v>16.2</v>
      </c>
      <c r="H34" s="331">
        <v>1.1</v>
      </c>
      <c r="I34" s="331" t="s">
        <v>653</v>
      </c>
      <c r="J34" s="14"/>
    </row>
    <row r="35">
      <c r="A35" s="266"/>
      <c r="B35" s="328">
        <v>28.0</v>
      </c>
      <c r="C35" s="332" t="s">
        <v>664</v>
      </c>
      <c r="D35" s="331" t="s">
        <v>640</v>
      </c>
      <c r="E35" s="331">
        <v>79.0</v>
      </c>
      <c r="F35" s="331">
        <v>5.2</v>
      </c>
      <c r="G35" s="331">
        <v>13.3</v>
      </c>
      <c r="H35" s="331">
        <v>0.6</v>
      </c>
      <c r="I35" s="331" t="s">
        <v>653</v>
      </c>
      <c r="J35" s="14"/>
    </row>
    <row r="36">
      <c r="A36" s="266"/>
      <c r="B36" s="324">
        <v>29.0</v>
      </c>
      <c r="C36" s="332" t="s">
        <v>665</v>
      </c>
      <c r="D36" s="331" t="s">
        <v>640</v>
      </c>
      <c r="E36" s="331">
        <v>93.0</v>
      </c>
      <c r="F36" s="331">
        <v>7.4</v>
      </c>
      <c r="G36" s="331">
        <v>14.4</v>
      </c>
      <c r="H36" s="331">
        <v>0.6</v>
      </c>
      <c r="I36" s="331" t="s">
        <v>653</v>
      </c>
      <c r="J36" s="14"/>
    </row>
    <row r="37">
      <c r="A37" s="266"/>
      <c r="B37" s="328">
        <v>30.0</v>
      </c>
      <c r="C37" s="332" t="s">
        <v>666</v>
      </c>
      <c r="D37" s="331" t="s">
        <v>640</v>
      </c>
      <c r="E37" s="331">
        <v>102.0</v>
      </c>
      <c r="F37" s="331">
        <v>8.4</v>
      </c>
      <c r="G37" s="331">
        <v>16.0</v>
      </c>
      <c r="H37" s="331">
        <v>0.5</v>
      </c>
      <c r="I37" s="331" t="s">
        <v>653</v>
      </c>
      <c r="J37" s="14"/>
    </row>
    <row r="38">
      <c r="A38" s="266"/>
      <c r="B38" s="324">
        <v>31.0</v>
      </c>
      <c r="C38" s="332" t="s">
        <v>667</v>
      </c>
      <c r="D38" s="331" t="s">
        <v>640</v>
      </c>
      <c r="E38" s="331">
        <v>83.0</v>
      </c>
      <c r="F38" s="331">
        <v>8.1</v>
      </c>
      <c r="G38" s="331">
        <v>2.0</v>
      </c>
      <c r="H38" s="331">
        <v>4.8</v>
      </c>
      <c r="I38" s="331" t="s">
        <v>642</v>
      </c>
      <c r="J38" s="14"/>
    </row>
    <row r="39">
      <c r="A39" s="266"/>
      <c r="B39" s="328">
        <v>32.0</v>
      </c>
      <c r="C39" s="332" t="s">
        <v>592</v>
      </c>
      <c r="D39" s="331" t="s">
        <v>668</v>
      </c>
      <c r="E39" s="331">
        <v>29.0</v>
      </c>
      <c r="F39" s="331">
        <v>5.1</v>
      </c>
      <c r="G39" s="331">
        <v>0.5</v>
      </c>
      <c r="H39" s="331">
        <v>0.7</v>
      </c>
      <c r="I39" s="331" t="s">
        <v>642</v>
      </c>
      <c r="J39" s="14"/>
    </row>
    <row r="40">
      <c r="A40" s="266"/>
      <c r="B40" s="324">
        <v>33.0</v>
      </c>
      <c r="C40" s="332" t="s">
        <v>669</v>
      </c>
      <c r="D40" s="331" t="s">
        <v>640</v>
      </c>
      <c r="E40" s="331">
        <v>155.0</v>
      </c>
      <c r="F40" s="331">
        <v>35.0</v>
      </c>
      <c r="G40" s="331">
        <v>0.0</v>
      </c>
      <c r="H40" s="331">
        <v>1.7</v>
      </c>
      <c r="I40" s="331" t="s">
        <v>641</v>
      </c>
      <c r="J40" s="14"/>
    </row>
    <row r="41">
      <c r="A41" s="266"/>
      <c r="B41" s="328">
        <v>34.0</v>
      </c>
      <c r="C41" s="332" t="s">
        <v>670</v>
      </c>
      <c r="D41" s="331" t="s">
        <v>640</v>
      </c>
      <c r="E41" s="331">
        <v>105.0</v>
      </c>
      <c r="F41" s="331">
        <v>22.6</v>
      </c>
      <c r="G41" s="331">
        <v>0.0</v>
      </c>
      <c r="H41" s="331">
        <v>1.6</v>
      </c>
      <c r="I41" s="331" t="s">
        <v>642</v>
      </c>
      <c r="J41" s="14"/>
    </row>
    <row r="42">
      <c r="A42" s="266"/>
      <c r="B42" s="324">
        <v>35.0</v>
      </c>
      <c r="C42" s="332" t="s">
        <v>671</v>
      </c>
      <c r="D42" s="331" t="s">
        <v>672</v>
      </c>
      <c r="E42" s="331">
        <v>50.0</v>
      </c>
      <c r="F42" s="331">
        <v>5.4</v>
      </c>
      <c r="G42" s="331">
        <v>4.8</v>
      </c>
      <c r="H42" s="331">
        <v>1.0</v>
      </c>
      <c r="I42" s="331" t="s">
        <v>642</v>
      </c>
      <c r="J42" s="14"/>
    </row>
    <row r="43">
      <c r="A43" s="266"/>
      <c r="B43" s="328">
        <v>36.0</v>
      </c>
      <c r="C43" s="332" t="s">
        <v>673</v>
      </c>
      <c r="D43" s="331" t="s">
        <v>672</v>
      </c>
      <c r="E43" s="331">
        <v>53.0</v>
      </c>
      <c r="F43" s="331">
        <v>5.4</v>
      </c>
      <c r="G43" s="331">
        <v>5.7</v>
      </c>
      <c r="H43" s="331">
        <v>1.0</v>
      </c>
      <c r="I43" s="331" t="s">
        <v>642</v>
      </c>
      <c r="J43" s="14"/>
    </row>
    <row r="44">
      <c r="A44" s="266"/>
      <c r="B44" s="324">
        <v>37.0</v>
      </c>
      <c r="C44" s="332" t="s">
        <v>674</v>
      </c>
      <c r="D44" s="331" t="s">
        <v>672</v>
      </c>
      <c r="E44" s="331">
        <v>59.0</v>
      </c>
      <c r="F44" s="331">
        <v>6.6</v>
      </c>
      <c r="G44" s="331">
        <v>5.8</v>
      </c>
      <c r="H44" s="331">
        <v>1.0</v>
      </c>
      <c r="I44" s="331" t="s">
        <v>642</v>
      </c>
      <c r="J44" s="14"/>
    </row>
    <row r="45">
      <c r="A45" s="266"/>
      <c r="B45" s="328">
        <v>38.0</v>
      </c>
      <c r="C45" s="332" t="s">
        <v>675</v>
      </c>
      <c r="D45" s="331" t="s">
        <v>672</v>
      </c>
      <c r="E45" s="331">
        <v>51.0</v>
      </c>
      <c r="F45" s="331">
        <v>5.4</v>
      </c>
      <c r="G45" s="331">
        <v>5.1</v>
      </c>
      <c r="H45" s="331">
        <v>1.0</v>
      </c>
      <c r="I45" s="331" t="s">
        <v>642</v>
      </c>
      <c r="J45" s="14"/>
    </row>
    <row r="46">
      <c r="A46" s="266"/>
      <c r="B46" s="324">
        <v>39.0</v>
      </c>
      <c r="C46" s="332" t="s">
        <v>676</v>
      </c>
      <c r="D46" s="331" t="s">
        <v>672</v>
      </c>
      <c r="E46" s="331">
        <v>49.0</v>
      </c>
      <c r="F46" s="331">
        <v>5.1</v>
      </c>
      <c r="G46" s="331">
        <v>4.8</v>
      </c>
      <c r="H46" s="331">
        <v>1.0</v>
      </c>
      <c r="I46" s="331" t="s">
        <v>642</v>
      </c>
      <c r="J46" s="14"/>
    </row>
    <row r="47">
      <c r="A47" s="266"/>
      <c r="B47" s="328">
        <v>40.0</v>
      </c>
      <c r="C47" s="332" t="s">
        <v>677</v>
      </c>
      <c r="D47" s="331" t="s">
        <v>672</v>
      </c>
      <c r="E47" s="331">
        <v>39.0</v>
      </c>
      <c r="F47" s="331">
        <v>3.8</v>
      </c>
      <c r="G47" s="331">
        <v>5.3</v>
      </c>
      <c r="H47" s="331">
        <v>0.3</v>
      </c>
      <c r="I47" s="331" t="s">
        <v>642</v>
      </c>
      <c r="J47" s="14"/>
    </row>
    <row r="48">
      <c r="A48" s="266"/>
      <c r="B48" s="324">
        <v>41.0</v>
      </c>
      <c r="C48" s="332" t="s">
        <v>678</v>
      </c>
      <c r="D48" s="331" t="s">
        <v>672</v>
      </c>
      <c r="E48" s="331">
        <v>42.0</v>
      </c>
      <c r="F48" s="331">
        <v>3.3</v>
      </c>
      <c r="G48" s="331">
        <v>5.0</v>
      </c>
      <c r="H48" s="331">
        <v>1.0</v>
      </c>
      <c r="I48" s="331" t="s">
        <v>642</v>
      </c>
      <c r="J48" s="14"/>
    </row>
    <row r="49">
      <c r="A49" s="266"/>
      <c r="B49" s="328">
        <v>42.0</v>
      </c>
      <c r="C49" s="332" t="s">
        <v>679</v>
      </c>
      <c r="D49" s="331" t="s">
        <v>672</v>
      </c>
      <c r="E49" s="331">
        <v>64.0</v>
      </c>
      <c r="F49" s="331">
        <v>3.4</v>
      </c>
      <c r="G49" s="331">
        <v>4.9</v>
      </c>
      <c r="H49" s="331">
        <v>3.5</v>
      </c>
      <c r="I49" s="331" t="s">
        <v>642</v>
      </c>
      <c r="J49" s="14"/>
    </row>
    <row r="50">
      <c r="A50" s="266"/>
      <c r="B50" s="324">
        <v>43.0</v>
      </c>
      <c r="C50" s="332" t="s">
        <v>680</v>
      </c>
      <c r="D50" s="331" t="s">
        <v>672</v>
      </c>
      <c r="E50" s="331">
        <v>44.0</v>
      </c>
      <c r="F50" s="331">
        <v>1.0</v>
      </c>
      <c r="G50" s="331">
        <v>6.6</v>
      </c>
      <c r="H50" s="331">
        <v>1.5</v>
      </c>
      <c r="I50" s="331" t="s">
        <v>642</v>
      </c>
      <c r="J50" s="14"/>
    </row>
    <row r="51">
      <c r="A51" s="266"/>
      <c r="B51" s="328">
        <v>44.0</v>
      </c>
      <c r="C51" s="332" t="s">
        <v>681</v>
      </c>
      <c r="D51" s="331" t="s">
        <v>672</v>
      </c>
      <c r="E51" s="331">
        <v>36.0</v>
      </c>
      <c r="F51" s="331">
        <v>1.0</v>
      </c>
      <c r="G51" s="331">
        <v>6.3</v>
      </c>
      <c r="H51" s="331">
        <v>0.7</v>
      </c>
      <c r="I51" s="331" t="s">
        <v>642</v>
      </c>
      <c r="J51" s="14"/>
    </row>
    <row r="52">
      <c r="A52" s="266"/>
      <c r="B52" s="324">
        <v>45.0</v>
      </c>
      <c r="C52" s="332" t="s">
        <v>682</v>
      </c>
      <c r="D52" s="331" t="s">
        <v>672</v>
      </c>
      <c r="E52" s="331">
        <v>26.0</v>
      </c>
      <c r="F52" s="331">
        <v>2.4</v>
      </c>
      <c r="G52" s="331">
        <v>0.5</v>
      </c>
      <c r="H52" s="331">
        <v>1.6</v>
      </c>
      <c r="I52" s="331" t="s">
        <v>642</v>
      </c>
      <c r="J52" s="14"/>
    </row>
    <row r="53">
      <c r="A53" s="266"/>
      <c r="B53" s="328">
        <v>46.0</v>
      </c>
      <c r="C53" s="332" t="s">
        <v>683</v>
      </c>
      <c r="D53" s="331" t="s">
        <v>672</v>
      </c>
      <c r="E53" s="331">
        <v>44.0</v>
      </c>
      <c r="F53" s="331">
        <v>3.1</v>
      </c>
      <c r="G53" s="331">
        <v>2.5</v>
      </c>
      <c r="H53" s="331">
        <v>2.4</v>
      </c>
      <c r="I53" s="331" t="s">
        <v>642</v>
      </c>
      <c r="J53" s="14"/>
    </row>
    <row r="54">
      <c r="A54" s="266"/>
      <c r="B54" s="324">
        <v>47.0</v>
      </c>
      <c r="C54" s="332" t="s">
        <v>684</v>
      </c>
      <c r="D54" s="331" t="s">
        <v>672</v>
      </c>
      <c r="E54" s="331">
        <v>21.0</v>
      </c>
      <c r="F54" s="331">
        <v>0.5</v>
      </c>
      <c r="G54" s="331">
        <v>2.4</v>
      </c>
      <c r="H54" s="331">
        <v>1.1</v>
      </c>
      <c r="I54" s="331" t="s">
        <v>642</v>
      </c>
      <c r="J54" s="14"/>
    </row>
    <row r="55">
      <c r="A55" s="266"/>
      <c r="B55" s="328">
        <v>48.0</v>
      </c>
      <c r="C55" s="332" t="s">
        <v>685</v>
      </c>
      <c r="D55" s="331" t="s">
        <v>672</v>
      </c>
      <c r="E55" s="331">
        <v>12.0</v>
      </c>
      <c r="F55" s="331">
        <v>0.4</v>
      </c>
      <c r="G55" s="331">
        <v>0.0</v>
      </c>
      <c r="H55" s="331">
        <v>1.1</v>
      </c>
      <c r="I55" s="331" t="s">
        <v>642</v>
      </c>
      <c r="J55" s="14"/>
    </row>
    <row r="56">
      <c r="A56" s="266"/>
      <c r="B56" s="324">
        <v>49.0</v>
      </c>
      <c r="C56" s="332" t="s">
        <v>686</v>
      </c>
      <c r="D56" s="331" t="s">
        <v>672</v>
      </c>
      <c r="E56" s="331">
        <v>22.0</v>
      </c>
      <c r="F56" s="331">
        <v>0.5</v>
      </c>
      <c r="G56" s="331">
        <v>2.6</v>
      </c>
      <c r="H56" s="331">
        <v>1.1</v>
      </c>
      <c r="I56" s="331" t="s">
        <v>642</v>
      </c>
      <c r="J56" s="14"/>
    </row>
    <row r="57">
      <c r="A57" s="266"/>
      <c r="B57" s="328">
        <v>50.0</v>
      </c>
      <c r="C57" s="332" t="s">
        <v>687</v>
      </c>
      <c r="D57" s="331" t="s">
        <v>672</v>
      </c>
      <c r="E57" s="331">
        <v>30.0</v>
      </c>
      <c r="F57" s="331">
        <v>0.6</v>
      </c>
      <c r="G57" s="331">
        <v>0.3</v>
      </c>
      <c r="H57" s="331">
        <v>2.9</v>
      </c>
      <c r="I57" s="331" t="s">
        <v>642</v>
      </c>
      <c r="J57" s="14"/>
    </row>
    <row r="58">
      <c r="A58" s="266"/>
      <c r="B58" s="324">
        <v>51.0</v>
      </c>
      <c r="C58" s="332" t="s">
        <v>602</v>
      </c>
      <c r="D58" s="331" t="s">
        <v>640</v>
      </c>
      <c r="E58" s="331">
        <v>349.0</v>
      </c>
      <c r="F58" s="331">
        <v>7.5</v>
      </c>
      <c r="G58" s="331">
        <v>78.0</v>
      </c>
      <c r="H58" s="331">
        <v>0.7</v>
      </c>
      <c r="I58" s="331" t="s">
        <v>688</v>
      </c>
      <c r="J58" s="14"/>
    </row>
    <row r="59">
      <c r="A59" s="266"/>
      <c r="B59" s="328">
        <v>52.0</v>
      </c>
      <c r="C59" s="332" t="s">
        <v>689</v>
      </c>
      <c r="D59" s="331" t="s">
        <v>640</v>
      </c>
      <c r="E59" s="331">
        <v>343.0</v>
      </c>
      <c r="F59" s="331">
        <v>10.0</v>
      </c>
      <c r="G59" s="331">
        <v>70.0</v>
      </c>
      <c r="H59" s="331">
        <v>2.5</v>
      </c>
      <c r="I59" s="331" t="s">
        <v>688</v>
      </c>
      <c r="J59" s="14"/>
    </row>
    <row r="60">
      <c r="A60" s="266"/>
      <c r="B60" s="324">
        <v>53.0</v>
      </c>
      <c r="C60" s="332" t="s">
        <v>690</v>
      </c>
      <c r="D60" s="331" t="s">
        <v>640</v>
      </c>
      <c r="E60" s="331">
        <v>338.0</v>
      </c>
      <c r="F60" s="331">
        <v>11.9</v>
      </c>
      <c r="G60" s="331">
        <v>68.0</v>
      </c>
      <c r="H60" s="331">
        <v>2.0</v>
      </c>
      <c r="I60" s="331" t="s">
        <v>688</v>
      </c>
      <c r="J60" s="14"/>
    </row>
    <row r="61">
      <c r="A61" s="266"/>
      <c r="B61" s="328">
        <v>54.0</v>
      </c>
      <c r="C61" s="332" t="s">
        <v>691</v>
      </c>
      <c r="D61" s="331" t="s">
        <v>640</v>
      </c>
      <c r="E61" s="331">
        <v>322.0</v>
      </c>
      <c r="F61" s="331">
        <v>13.3</v>
      </c>
      <c r="G61" s="331">
        <v>61.0</v>
      </c>
      <c r="H61" s="331">
        <v>2.8</v>
      </c>
      <c r="I61" s="331" t="s">
        <v>688</v>
      </c>
      <c r="J61" s="14"/>
    </row>
    <row r="62">
      <c r="A62" s="266"/>
      <c r="B62" s="324">
        <v>55.0</v>
      </c>
      <c r="C62" s="332" t="s">
        <v>599</v>
      </c>
      <c r="D62" s="331" t="s">
        <v>640</v>
      </c>
      <c r="E62" s="331">
        <v>80.0</v>
      </c>
      <c r="F62" s="331">
        <v>1.9</v>
      </c>
      <c r="G62" s="331">
        <v>17.9</v>
      </c>
      <c r="H62" s="331">
        <v>0.1</v>
      </c>
      <c r="I62" s="331" t="s">
        <v>642</v>
      </c>
      <c r="J62" s="14"/>
    </row>
    <row r="63">
      <c r="A63" s="266"/>
      <c r="B63" s="328">
        <v>56.0</v>
      </c>
      <c r="C63" s="332" t="s">
        <v>692</v>
      </c>
      <c r="D63" s="331" t="s">
        <v>640</v>
      </c>
      <c r="E63" s="331">
        <v>86.0</v>
      </c>
      <c r="F63" s="331">
        <v>1.2</v>
      </c>
      <c r="G63" s="331">
        <v>19.7</v>
      </c>
      <c r="H63" s="331">
        <v>0.3</v>
      </c>
      <c r="I63" s="331" t="s">
        <v>642</v>
      </c>
      <c r="J63" s="14"/>
    </row>
    <row r="64">
      <c r="A64" s="266"/>
      <c r="B64" s="324">
        <v>57.0</v>
      </c>
      <c r="C64" s="332" t="s">
        <v>587</v>
      </c>
      <c r="D64" s="331" t="s">
        <v>640</v>
      </c>
      <c r="E64" s="331">
        <v>374.0</v>
      </c>
      <c r="F64" s="331">
        <v>10.9</v>
      </c>
      <c r="G64" s="331">
        <v>64.0</v>
      </c>
      <c r="H64" s="331">
        <v>8.1</v>
      </c>
      <c r="I64" s="331" t="s">
        <v>688</v>
      </c>
      <c r="J64" s="14"/>
    </row>
    <row r="65">
      <c r="A65" s="266"/>
      <c r="B65" s="328">
        <v>58.0</v>
      </c>
      <c r="C65" s="332" t="s">
        <v>588</v>
      </c>
      <c r="D65" s="331" t="s">
        <v>693</v>
      </c>
      <c r="E65" s="331">
        <v>224.0</v>
      </c>
      <c r="F65" s="331">
        <v>8.5</v>
      </c>
      <c r="G65" s="331">
        <v>43.8</v>
      </c>
      <c r="H65" s="331">
        <v>1.2</v>
      </c>
      <c r="I65" s="331" t="s">
        <v>694</v>
      </c>
      <c r="J65" s="14"/>
    </row>
    <row r="66">
      <c r="A66" s="266"/>
      <c r="B66" s="324">
        <v>59.0</v>
      </c>
      <c r="C66" s="332" t="s">
        <v>695</v>
      </c>
      <c r="D66" s="331" t="s">
        <v>696</v>
      </c>
      <c r="E66" s="331">
        <v>158.0</v>
      </c>
      <c r="F66" s="331">
        <v>6.0</v>
      </c>
      <c r="G66" s="331">
        <v>30.0</v>
      </c>
      <c r="H66" s="331">
        <v>1.1</v>
      </c>
      <c r="I66" s="331" t="s">
        <v>694</v>
      </c>
      <c r="J66" s="14"/>
    </row>
    <row r="67">
      <c r="A67" s="266"/>
      <c r="B67" s="328">
        <v>60.0</v>
      </c>
      <c r="C67" s="332" t="s">
        <v>697</v>
      </c>
      <c r="D67" s="331" t="s">
        <v>698</v>
      </c>
      <c r="E67" s="331">
        <v>97.0</v>
      </c>
      <c r="F67" s="331">
        <v>3.3</v>
      </c>
      <c r="G67" s="331">
        <v>19.4</v>
      </c>
      <c r="H67" s="331">
        <v>0.4</v>
      </c>
      <c r="I67" s="331" t="s">
        <v>694</v>
      </c>
      <c r="J67" s="14"/>
    </row>
    <row r="68">
      <c r="A68" s="266"/>
      <c r="B68" s="324">
        <v>61.0</v>
      </c>
      <c r="C68" s="332" t="s">
        <v>699</v>
      </c>
      <c r="D68" s="331" t="s">
        <v>640</v>
      </c>
      <c r="E68" s="331">
        <v>285.0</v>
      </c>
      <c r="F68" s="331">
        <v>1.2</v>
      </c>
      <c r="G68" s="331">
        <v>70.0</v>
      </c>
      <c r="H68" s="331">
        <v>0.2</v>
      </c>
      <c r="I68" s="331" t="s">
        <v>694</v>
      </c>
      <c r="J68" s="14"/>
    </row>
    <row r="69">
      <c r="A69" s="266"/>
      <c r="B69" s="328">
        <v>62.0</v>
      </c>
      <c r="C69" s="332" t="s">
        <v>700</v>
      </c>
      <c r="D69" s="331" t="s">
        <v>640</v>
      </c>
      <c r="E69" s="331">
        <v>362.0</v>
      </c>
      <c r="F69" s="331">
        <v>7.9</v>
      </c>
      <c r="G69" s="331">
        <v>80.5</v>
      </c>
      <c r="H69" s="331">
        <v>0.1</v>
      </c>
      <c r="I69" s="331" t="s">
        <v>688</v>
      </c>
      <c r="J69" s="14"/>
    </row>
    <row r="70">
      <c r="A70" s="266"/>
      <c r="B70" s="324">
        <v>63.0</v>
      </c>
      <c r="C70" s="332" t="s">
        <v>701</v>
      </c>
      <c r="D70" s="331" t="s">
        <v>640</v>
      </c>
      <c r="E70" s="331">
        <v>384.0</v>
      </c>
      <c r="F70" s="331">
        <v>7.7</v>
      </c>
      <c r="G70" s="331">
        <v>86.0</v>
      </c>
      <c r="H70" s="331">
        <v>1.2</v>
      </c>
      <c r="I70" s="331" t="s">
        <v>688</v>
      </c>
      <c r="J70" s="14"/>
    </row>
    <row r="71">
      <c r="A71" s="266"/>
      <c r="B71" s="328">
        <v>64.0</v>
      </c>
      <c r="C71" s="332" t="s">
        <v>702</v>
      </c>
      <c r="D71" s="331" t="s">
        <v>640</v>
      </c>
      <c r="E71" s="331">
        <v>378.0</v>
      </c>
      <c r="F71" s="331">
        <v>6.3</v>
      </c>
      <c r="G71" s="331">
        <v>84.0</v>
      </c>
      <c r="H71" s="331">
        <v>1.9</v>
      </c>
      <c r="I71" s="331" t="s">
        <v>688</v>
      </c>
      <c r="J71" s="14"/>
    </row>
    <row r="72">
      <c r="A72" s="266"/>
      <c r="B72" s="324">
        <v>65.0</v>
      </c>
      <c r="C72" s="332" t="s">
        <v>703</v>
      </c>
      <c r="D72" s="331" t="s">
        <v>640</v>
      </c>
      <c r="E72" s="331">
        <v>383.0</v>
      </c>
      <c r="F72" s="331">
        <v>7.0</v>
      </c>
      <c r="G72" s="331">
        <v>86.0</v>
      </c>
      <c r="H72" s="331">
        <v>1.2</v>
      </c>
      <c r="I72" s="331" t="s">
        <v>688</v>
      </c>
      <c r="J72" s="14"/>
    </row>
    <row r="73">
      <c r="A73" s="266"/>
      <c r="B73" s="328">
        <v>66.0</v>
      </c>
      <c r="C73" s="332" t="s">
        <v>704</v>
      </c>
      <c r="D73" s="331" t="s">
        <v>705</v>
      </c>
      <c r="E73" s="331">
        <v>68.0</v>
      </c>
      <c r="F73" s="331">
        <v>2.3</v>
      </c>
      <c r="G73" s="331">
        <v>13.0</v>
      </c>
      <c r="H73" s="331">
        <v>0.4</v>
      </c>
      <c r="I73" s="331" t="s">
        <v>688</v>
      </c>
      <c r="J73" s="14"/>
    </row>
    <row r="74">
      <c r="A74" s="266"/>
      <c r="B74" s="324">
        <v>67.0</v>
      </c>
      <c r="C74" s="332" t="s">
        <v>706</v>
      </c>
      <c r="D74" s="331" t="s">
        <v>707</v>
      </c>
      <c r="E74" s="331">
        <v>30.0</v>
      </c>
      <c r="F74" s="331">
        <v>0.6</v>
      </c>
      <c r="G74" s="331">
        <v>6.3</v>
      </c>
      <c r="H74" s="331">
        <v>0.2</v>
      </c>
      <c r="I74" s="331" t="s">
        <v>694</v>
      </c>
      <c r="J74" s="14"/>
    </row>
    <row r="75">
      <c r="A75" s="266"/>
      <c r="B75" s="328">
        <v>68.0</v>
      </c>
      <c r="C75" s="332" t="s">
        <v>708</v>
      </c>
      <c r="D75" s="331" t="s">
        <v>709</v>
      </c>
      <c r="E75" s="331">
        <v>26.0</v>
      </c>
      <c r="F75" s="331">
        <v>6.0</v>
      </c>
      <c r="G75" s="331">
        <v>0.5</v>
      </c>
      <c r="H75" s="331">
        <v>0.0</v>
      </c>
      <c r="I75" s="331" t="s">
        <v>694</v>
      </c>
      <c r="J75" s="14"/>
    </row>
    <row r="76">
      <c r="A76" s="266"/>
      <c r="B76" s="324">
        <v>69.0</v>
      </c>
      <c r="C76" s="332" t="s">
        <v>710</v>
      </c>
      <c r="D76" s="331" t="s">
        <v>711</v>
      </c>
      <c r="E76" s="331">
        <v>119.0</v>
      </c>
      <c r="F76" s="331">
        <v>0.8</v>
      </c>
      <c r="G76" s="331">
        <v>21.0</v>
      </c>
      <c r="H76" s="331">
        <v>3.4</v>
      </c>
      <c r="I76" s="331" t="s">
        <v>694</v>
      </c>
      <c r="J76" s="14"/>
    </row>
    <row r="77">
      <c r="A77" s="266"/>
      <c r="B77" s="328">
        <v>70.0</v>
      </c>
      <c r="C77" s="332" t="s">
        <v>712</v>
      </c>
      <c r="D77" s="331" t="s">
        <v>640</v>
      </c>
      <c r="E77" s="331">
        <v>274.0</v>
      </c>
      <c r="F77" s="331">
        <v>0.3</v>
      </c>
      <c r="G77" s="331">
        <v>66.0</v>
      </c>
      <c r="H77" s="331">
        <v>0.0</v>
      </c>
      <c r="I77" s="331" t="s">
        <v>694</v>
      </c>
      <c r="J77" s="14"/>
    </row>
    <row r="78">
      <c r="A78" s="266"/>
      <c r="B78" s="324">
        <v>71.0</v>
      </c>
      <c r="C78" s="332" t="s">
        <v>713</v>
      </c>
      <c r="D78" s="331" t="s">
        <v>640</v>
      </c>
      <c r="E78" s="331">
        <v>260.0</v>
      </c>
      <c r="F78" s="331">
        <v>0.0</v>
      </c>
      <c r="G78" s="331">
        <v>65.0</v>
      </c>
      <c r="H78" s="331">
        <v>0.2</v>
      </c>
      <c r="I78" s="331" t="s">
        <v>694</v>
      </c>
      <c r="J78" s="14"/>
    </row>
    <row r="79">
      <c r="A79" s="266"/>
      <c r="B79" s="328">
        <v>72.0</v>
      </c>
      <c r="C79" s="332" t="s">
        <v>591</v>
      </c>
      <c r="D79" s="331" t="s">
        <v>640</v>
      </c>
      <c r="E79" s="331">
        <v>307.0</v>
      </c>
      <c r="F79" s="331">
        <v>0.4</v>
      </c>
      <c r="G79" s="331">
        <v>76.0</v>
      </c>
      <c r="H79" s="331">
        <v>0.0</v>
      </c>
      <c r="I79" s="331" t="s">
        <v>694</v>
      </c>
      <c r="J79" s="14"/>
    </row>
    <row r="80">
      <c r="A80" s="266"/>
      <c r="B80" s="324">
        <v>73.0</v>
      </c>
      <c r="C80" s="332" t="s">
        <v>714</v>
      </c>
      <c r="D80" s="331" t="s">
        <v>640</v>
      </c>
      <c r="E80" s="331">
        <v>270.0</v>
      </c>
      <c r="F80" s="331">
        <v>5.6</v>
      </c>
      <c r="G80" s="331">
        <v>40.0</v>
      </c>
      <c r="H80" s="331">
        <v>9.6</v>
      </c>
      <c r="I80" s="331" t="s">
        <v>694</v>
      </c>
      <c r="J80" s="14"/>
    </row>
    <row r="81">
      <c r="A81" s="266"/>
      <c r="B81" s="328">
        <v>74.0</v>
      </c>
      <c r="C81" s="332" t="s">
        <v>626</v>
      </c>
      <c r="D81" s="331" t="s">
        <v>640</v>
      </c>
      <c r="E81" s="331">
        <v>279.0</v>
      </c>
      <c r="F81" s="331">
        <v>11.8</v>
      </c>
      <c r="G81" s="331">
        <v>54.0</v>
      </c>
      <c r="H81" s="331">
        <v>1.8</v>
      </c>
      <c r="I81" s="331" t="s">
        <v>694</v>
      </c>
      <c r="J81" s="14"/>
    </row>
    <row r="82">
      <c r="A82" s="266"/>
      <c r="B82" s="324">
        <v>75.0</v>
      </c>
      <c r="C82" s="332" t="s">
        <v>715</v>
      </c>
      <c r="D82" s="331" t="s">
        <v>640</v>
      </c>
      <c r="E82" s="331">
        <v>215.0</v>
      </c>
      <c r="F82" s="331">
        <v>8.9</v>
      </c>
      <c r="G82" s="331">
        <v>37.0</v>
      </c>
      <c r="H82" s="331">
        <v>3.5</v>
      </c>
      <c r="I82" s="331" t="s">
        <v>694</v>
      </c>
      <c r="J82" s="14"/>
    </row>
    <row r="83">
      <c r="A83" s="266"/>
      <c r="B83" s="328">
        <v>76.0</v>
      </c>
      <c r="C83" s="332" t="s">
        <v>716</v>
      </c>
      <c r="D83" s="331" t="s">
        <v>640</v>
      </c>
      <c r="E83" s="331">
        <v>279.0</v>
      </c>
      <c r="F83" s="331">
        <v>7.8</v>
      </c>
      <c r="G83" s="331">
        <v>49.0</v>
      </c>
      <c r="H83" s="331">
        <v>5.7</v>
      </c>
      <c r="I83" s="331" t="s">
        <v>694</v>
      </c>
      <c r="J83" s="14"/>
    </row>
    <row r="84">
      <c r="A84" s="266"/>
      <c r="B84" s="324">
        <v>77.0</v>
      </c>
      <c r="C84" s="332" t="s">
        <v>717</v>
      </c>
      <c r="D84" s="331" t="s">
        <v>640</v>
      </c>
      <c r="E84" s="331">
        <v>330.0</v>
      </c>
      <c r="F84" s="331">
        <v>12.0</v>
      </c>
      <c r="G84" s="331">
        <v>66.0</v>
      </c>
      <c r="H84" s="331">
        <v>2.0</v>
      </c>
      <c r="I84" s="331" t="s">
        <v>688</v>
      </c>
      <c r="J84" s="14"/>
    </row>
    <row r="85">
      <c r="A85" s="266"/>
      <c r="B85" s="328">
        <v>78.0</v>
      </c>
      <c r="C85" s="332" t="s">
        <v>718</v>
      </c>
      <c r="D85" s="331" t="s">
        <v>640</v>
      </c>
      <c r="E85" s="331">
        <v>316.0</v>
      </c>
      <c r="F85" s="331">
        <v>8.8</v>
      </c>
      <c r="G85" s="331">
        <v>49.0</v>
      </c>
      <c r="H85" s="331">
        <v>9.5</v>
      </c>
      <c r="I85" s="331" t="s">
        <v>694</v>
      </c>
      <c r="J85" s="14"/>
    </row>
    <row r="86">
      <c r="A86" s="266"/>
      <c r="B86" s="324">
        <v>79.0</v>
      </c>
      <c r="C86" s="332" t="s">
        <v>719</v>
      </c>
      <c r="D86" s="331" t="s">
        <v>640</v>
      </c>
      <c r="E86" s="331">
        <v>586.0</v>
      </c>
      <c r="F86" s="331">
        <v>10.0</v>
      </c>
      <c r="G86" s="331">
        <v>24.0</v>
      </c>
      <c r="H86" s="331">
        <v>50.0</v>
      </c>
      <c r="I86" s="331" t="s">
        <v>694</v>
      </c>
      <c r="J86" s="14"/>
    </row>
    <row r="87">
      <c r="A87" s="266"/>
      <c r="B87" s="328">
        <v>80.0</v>
      </c>
      <c r="C87" s="332" t="s">
        <v>720</v>
      </c>
      <c r="D87" s="331" t="s">
        <v>640</v>
      </c>
      <c r="E87" s="331">
        <v>558.0</v>
      </c>
      <c r="F87" s="331">
        <v>9.1</v>
      </c>
      <c r="G87" s="331">
        <v>36.0</v>
      </c>
      <c r="H87" s="331">
        <v>42.0</v>
      </c>
      <c r="I87" s="331" t="s">
        <v>694</v>
      </c>
      <c r="J87" s="14"/>
    </row>
    <row r="88">
      <c r="A88" s="266"/>
      <c r="B88" s="324">
        <v>81.0</v>
      </c>
      <c r="C88" s="332" t="s">
        <v>721</v>
      </c>
      <c r="D88" s="331" t="s">
        <v>640</v>
      </c>
      <c r="E88" s="331">
        <v>579.0</v>
      </c>
      <c r="F88" s="331">
        <v>20.7</v>
      </c>
      <c r="G88" s="331">
        <v>7.0</v>
      </c>
      <c r="H88" s="331">
        <v>52.0</v>
      </c>
      <c r="I88" s="331" t="s">
        <v>694</v>
      </c>
      <c r="J88" s="14"/>
    </row>
    <row r="89">
      <c r="A89" s="266"/>
      <c r="B89" s="328">
        <v>82.0</v>
      </c>
      <c r="C89" s="332" t="s">
        <v>722</v>
      </c>
      <c r="D89" s="331" t="s">
        <v>640</v>
      </c>
      <c r="E89" s="331">
        <v>606.0</v>
      </c>
      <c r="F89" s="331">
        <v>22.8</v>
      </c>
      <c r="G89" s="331">
        <v>12.2</v>
      </c>
      <c r="H89" s="331">
        <v>52.0</v>
      </c>
      <c r="I89" s="331" t="s">
        <v>694</v>
      </c>
      <c r="J89" s="14"/>
    </row>
    <row r="90">
      <c r="A90" s="266"/>
      <c r="B90" s="324">
        <v>83.0</v>
      </c>
      <c r="C90" s="332" t="s">
        <v>723</v>
      </c>
      <c r="D90" s="331" t="s">
        <v>640</v>
      </c>
      <c r="E90" s="331">
        <v>899.0</v>
      </c>
      <c r="F90" s="331">
        <v>0.0</v>
      </c>
      <c r="G90" s="331">
        <v>0.0</v>
      </c>
      <c r="H90" s="331">
        <v>100.0</v>
      </c>
      <c r="I90" s="331" t="s">
        <v>694</v>
      </c>
      <c r="J90" s="14"/>
    </row>
    <row r="91">
      <c r="A91" s="266"/>
      <c r="B91" s="328">
        <v>84.0</v>
      </c>
      <c r="C91" s="332" t="s">
        <v>724</v>
      </c>
      <c r="D91" s="331" t="s">
        <v>640</v>
      </c>
      <c r="E91" s="331">
        <v>899.0</v>
      </c>
      <c r="F91" s="331">
        <v>0.0</v>
      </c>
      <c r="G91" s="331">
        <v>0.0</v>
      </c>
      <c r="H91" s="331">
        <v>100.0</v>
      </c>
      <c r="I91" s="331" t="s">
        <v>694</v>
      </c>
      <c r="J91" s="14"/>
    </row>
    <row r="92">
      <c r="A92" s="266"/>
      <c r="B92" s="324">
        <v>85.0</v>
      </c>
      <c r="C92" s="332" t="s">
        <v>725</v>
      </c>
      <c r="D92" s="331" t="s">
        <v>640</v>
      </c>
      <c r="E92" s="331">
        <v>375.0</v>
      </c>
      <c r="F92" s="331">
        <v>0.0</v>
      </c>
      <c r="G92" s="331">
        <v>0.0</v>
      </c>
      <c r="H92" s="331">
        <v>93.3</v>
      </c>
      <c r="I92" s="331" t="s">
        <v>694</v>
      </c>
      <c r="J92" s="14"/>
    </row>
    <row r="93">
      <c r="A93" s="266"/>
      <c r="B93" s="328">
        <v>86.0</v>
      </c>
      <c r="C93" s="332" t="s">
        <v>726</v>
      </c>
      <c r="D93" s="331" t="s">
        <v>640</v>
      </c>
      <c r="E93" s="331">
        <v>602.0</v>
      </c>
      <c r="F93" s="331">
        <v>24.7</v>
      </c>
      <c r="G93" s="331">
        <v>15.5</v>
      </c>
      <c r="H93" s="331">
        <v>49.0</v>
      </c>
      <c r="I93" s="331" t="s">
        <v>727</v>
      </c>
      <c r="J93" s="14"/>
    </row>
    <row r="94">
      <c r="A94" s="266"/>
      <c r="B94" s="324">
        <v>87.0</v>
      </c>
      <c r="C94" s="332" t="s">
        <v>728</v>
      </c>
      <c r="D94" s="331" t="s">
        <v>640</v>
      </c>
      <c r="E94" s="331">
        <v>731.0</v>
      </c>
      <c r="F94" s="331">
        <v>10.1</v>
      </c>
      <c r="G94" s="331">
        <v>5.2</v>
      </c>
      <c r="H94" s="331">
        <v>72.0</v>
      </c>
      <c r="I94" s="331" t="s">
        <v>727</v>
      </c>
      <c r="J94" s="14"/>
    </row>
    <row r="95">
      <c r="A95" s="266"/>
      <c r="B95" s="328">
        <v>88.0</v>
      </c>
      <c r="C95" s="332" t="s">
        <v>729</v>
      </c>
      <c r="D95" s="331" t="s">
        <v>640</v>
      </c>
      <c r="E95" s="331">
        <v>601.0</v>
      </c>
      <c r="F95" s="331">
        <v>17.9</v>
      </c>
      <c r="G95" s="331">
        <v>7.7</v>
      </c>
      <c r="H95" s="331">
        <v>55.0</v>
      </c>
      <c r="I95" s="331" t="s">
        <v>727</v>
      </c>
      <c r="J95" s="14"/>
    </row>
    <row r="96">
      <c r="A96" s="266"/>
      <c r="B96" s="324">
        <v>89.0</v>
      </c>
      <c r="C96" s="332" t="s">
        <v>730</v>
      </c>
      <c r="D96" s="331" t="s">
        <v>640</v>
      </c>
      <c r="E96" s="331">
        <v>688.0</v>
      </c>
      <c r="F96" s="331">
        <v>14.7</v>
      </c>
      <c r="G96" s="331">
        <v>3.1</v>
      </c>
      <c r="H96" s="331">
        <v>69.0</v>
      </c>
      <c r="I96" s="331" t="s">
        <v>727</v>
      </c>
      <c r="J96" s="14"/>
    </row>
    <row r="97">
      <c r="A97" s="266"/>
      <c r="B97" s="328">
        <v>90.0</v>
      </c>
      <c r="C97" s="332" t="s">
        <v>731</v>
      </c>
      <c r="D97" s="331" t="s">
        <v>640</v>
      </c>
      <c r="E97" s="331">
        <v>584.0</v>
      </c>
      <c r="F97" s="331">
        <v>20.9</v>
      </c>
      <c r="G97" s="331">
        <v>7.0</v>
      </c>
      <c r="H97" s="331">
        <v>53.0</v>
      </c>
      <c r="I97" s="331" t="s">
        <v>727</v>
      </c>
      <c r="J97" s="14"/>
    </row>
    <row r="98">
      <c r="A98" s="266"/>
      <c r="B98" s="324">
        <v>91.0</v>
      </c>
      <c r="C98" s="332" t="s">
        <v>732</v>
      </c>
      <c r="D98" s="331" t="s">
        <v>640</v>
      </c>
      <c r="E98" s="331">
        <v>431.0</v>
      </c>
      <c r="F98" s="331">
        <v>8.7</v>
      </c>
      <c r="G98" s="331">
        <v>60.0</v>
      </c>
      <c r="H98" s="331">
        <v>15.1</v>
      </c>
      <c r="I98" s="331" t="s">
        <v>694</v>
      </c>
      <c r="J98" s="14"/>
    </row>
    <row r="99">
      <c r="A99" s="266"/>
      <c r="B99" s="328">
        <v>92.0</v>
      </c>
      <c r="C99" s="332" t="s">
        <v>733</v>
      </c>
      <c r="D99" s="331" t="s">
        <v>640</v>
      </c>
      <c r="E99" s="331">
        <v>571.0</v>
      </c>
      <c r="F99" s="331">
        <v>17.7</v>
      </c>
      <c r="G99" s="331">
        <v>16.7</v>
      </c>
      <c r="H99" s="331">
        <v>48.0</v>
      </c>
      <c r="I99" s="331" t="s">
        <v>727</v>
      </c>
      <c r="J99" s="14"/>
    </row>
    <row r="100">
      <c r="A100" s="266"/>
      <c r="B100" s="324">
        <v>93.0</v>
      </c>
      <c r="C100" s="332" t="s">
        <v>734</v>
      </c>
      <c r="D100" s="331" t="s">
        <v>640</v>
      </c>
      <c r="E100" s="331">
        <v>745.0</v>
      </c>
      <c r="F100" s="331">
        <v>0.6</v>
      </c>
      <c r="G100" s="331">
        <v>0.6</v>
      </c>
      <c r="H100" s="331">
        <v>82.0</v>
      </c>
      <c r="I100" s="331" t="s">
        <v>694</v>
      </c>
      <c r="J100" s="14"/>
    </row>
    <row r="101">
      <c r="A101" s="266"/>
      <c r="B101" s="328">
        <v>94.0</v>
      </c>
      <c r="C101" s="332" t="s">
        <v>629</v>
      </c>
      <c r="D101" s="331" t="s">
        <v>640</v>
      </c>
      <c r="E101" s="331">
        <v>416.0</v>
      </c>
      <c r="F101" s="331">
        <v>25.4</v>
      </c>
      <c r="G101" s="331">
        <v>0.1</v>
      </c>
      <c r="H101" s="331">
        <v>34.9</v>
      </c>
      <c r="I101" s="331" t="s">
        <v>694</v>
      </c>
      <c r="J101" s="14"/>
    </row>
    <row r="102">
      <c r="A102" s="266"/>
      <c r="B102" s="324">
        <v>95.0</v>
      </c>
      <c r="C102" s="332" t="s">
        <v>627</v>
      </c>
      <c r="D102" s="331" t="s">
        <v>640</v>
      </c>
      <c r="E102" s="331">
        <v>191.0</v>
      </c>
      <c r="F102" s="331">
        <v>1.9</v>
      </c>
      <c r="G102" s="331">
        <v>1.9</v>
      </c>
      <c r="H102" s="331">
        <v>19.5</v>
      </c>
      <c r="I102" s="331" t="s">
        <v>642</v>
      </c>
      <c r="J102" s="14"/>
    </row>
    <row r="103">
      <c r="A103" s="266"/>
      <c r="B103" s="328">
        <v>96.0</v>
      </c>
      <c r="C103" s="332" t="s">
        <v>735</v>
      </c>
      <c r="D103" s="331" t="s">
        <v>640</v>
      </c>
      <c r="E103" s="331">
        <v>33.0</v>
      </c>
      <c r="F103" s="331">
        <v>1.0</v>
      </c>
      <c r="G103" s="331">
        <v>6.5</v>
      </c>
      <c r="H103" s="331">
        <v>0.3</v>
      </c>
      <c r="I103" s="331" t="s">
        <v>642</v>
      </c>
      <c r="J103" s="14"/>
    </row>
    <row r="104">
      <c r="A104" s="266"/>
      <c r="B104" s="324">
        <v>97.0</v>
      </c>
      <c r="C104" s="332" t="s">
        <v>736</v>
      </c>
      <c r="D104" s="331" t="s">
        <v>640</v>
      </c>
      <c r="E104" s="331">
        <v>43.0</v>
      </c>
      <c r="F104" s="331">
        <v>0.4</v>
      </c>
      <c r="G104" s="331">
        <v>9.9</v>
      </c>
      <c r="H104" s="331">
        <v>0.2</v>
      </c>
      <c r="I104" s="331" t="s">
        <v>642</v>
      </c>
      <c r="J104" s="14"/>
    </row>
    <row r="105">
      <c r="A105" s="266"/>
      <c r="B105" s="328">
        <v>98.0</v>
      </c>
      <c r="C105" s="332" t="s">
        <v>737</v>
      </c>
      <c r="D105" s="331" t="s">
        <v>640</v>
      </c>
      <c r="E105" s="331">
        <v>51.0</v>
      </c>
      <c r="F105" s="331">
        <v>1.1</v>
      </c>
      <c r="G105" s="331">
        <v>10.5</v>
      </c>
      <c r="H105" s="331">
        <v>0.5</v>
      </c>
      <c r="I105" s="331" t="s">
        <v>642</v>
      </c>
      <c r="J105" s="14"/>
    </row>
    <row r="106">
      <c r="A106" s="266"/>
      <c r="B106" s="324">
        <v>99.0</v>
      </c>
      <c r="C106" s="332" t="s">
        <v>598</v>
      </c>
      <c r="D106" s="331" t="s">
        <v>640</v>
      </c>
      <c r="E106" s="331">
        <v>53.0</v>
      </c>
      <c r="F106" s="331">
        <v>0.6</v>
      </c>
      <c r="G106" s="331">
        <v>11.5</v>
      </c>
      <c r="H106" s="331">
        <v>0.5</v>
      </c>
      <c r="I106" s="331" t="s">
        <v>642</v>
      </c>
      <c r="J106" s="14"/>
    </row>
    <row r="107">
      <c r="A107" s="266"/>
      <c r="B107" s="328">
        <v>100.0</v>
      </c>
      <c r="C107" s="332" t="s">
        <v>605</v>
      </c>
      <c r="D107" s="331" t="s">
        <v>640</v>
      </c>
      <c r="E107" s="331">
        <v>86.0</v>
      </c>
      <c r="F107" s="331">
        <v>1.2</v>
      </c>
      <c r="G107" s="331">
        <v>20.0</v>
      </c>
      <c r="H107" s="331">
        <v>0.1</v>
      </c>
      <c r="I107" s="331" t="s">
        <v>642</v>
      </c>
      <c r="J107" s="14"/>
    </row>
    <row r="108">
      <c r="A108" s="266"/>
      <c r="B108" s="324">
        <v>101.0</v>
      </c>
      <c r="C108" s="332" t="s">
        <v>738</v>
      </c>
      <c r="D108" s="331" t="s">
        <v>640</v>
      </c>
      <c r="E108" s="331">
        <v>37.0</v>
      </c>
      <c r="F108" s="331">
        <v>2.6</v>
      </c>
      <c r="G108" s="331">
        <v>5.7</v>
      </c>
      <c r="H108" s="331">
        <v>0.4</v>
      </c>
      <c r="I108" s="331" t="s">
        <v>642</v>
      </c>
      <c r="J108" s="14"/>
    </row>
    <row r="109">
      <c r="A109" s="266"/>
      <c r="B109" s="328">
        <v>102.0</v>
      </c>
      <c r="C109" s="332" t="s">
        <v>739</v>
      </c>
      <c r="D109" s="331" t="s">
        <v>640</v>
      </c>
      <c r="E109" s="331">
        <v>69.0</v>
      </c>
      <c r="F109" s="331">
        <v>0.7</v>
      </c>
      <c r="G109" s="331">
        <v>16.1</v>
      </c>
      <c r="H109" s="331">
        <v>0.2</v>
      </c>
      <c r="I109" s="331" t="s">
        <v>642</v>
      </c>
      <c r="J109" s="14"/>
    </row>
    <row r="110">
      <c r="A110" s="266"/>
      <c r="B110" s="324">
        <v>103.0</v>
      </c>
      <c r="C110" s="332" t="s">
        <v>740</v>
      </c>
      <c r="D110" s="331" t="s">
        <v>640</v>
      </c>
      <c r="E110" s="331">
        <v>287.0</v>
      </c>
      <c r="F110" s="331">
        <v>3.3</v>
      </c>
      <c r="G110" s="331">
        <v>68.0</v>
      </c>
      <c r="H110" s="331">
        <v>0.2</v>
      </c>
      <c r="I110" s="331" t="s">
        <v>642</v>
      </c>
      <c r="J110" s="14"/>
    </row>
    <row r="111">
      <c r="A111" s="266"/>
      <c r="B111" s="328">
        <v>104.0</v>
      </c>
      <c r="C111" s="332" t="s">
        <v>741</v>
      </c>
      <c r="D111" s="331" t="s">
        <v>640</v>
      </c>
      <c r="E111" s="331">
        <v>37.0</v>
      </c>
      <c r="F111" s="331">
        <v>0.8</v>
      </c>
      <c r="G111" s="331">
        <v>8.0</v>
      </c>
      <c r="H111" s="331">
        <v>0.2</v>
      </c>
      <c r="I111" s="331" t="s">
        <v>642</v>
      </c>
      <c r="J111" s="14"/>
    </row>
    <row r="112">
      <c r="A112" s="266"/>
      <c r="B112" s="324">
        <v>105.0</v>
      </c>
      <c r="C112" s="332" t="s">
        <v>742</v>
      </c>
      <c r="D112" s="331" t="s">
        <v>640</v>
      </c>
      <c r="E112" s="331">
        <v>45.0</v>
      </c>
      <c r="F112" s="331">
        <v>0.3</v>
      </c>
      <c r="G112" s="331">
        <v>10.8</v>
      </c>
      <c r="H112" s="331">
        <v>0.1</v>
      </c>
      <c r="I112" s="331" t="s">
        <v>642</v>
      </c>
      <c r="J112" s="14"/>
    </row>
    <row r="113">
      <c r="A113" s="266"/>
      <c r="B113" s="328">
        <v>106.0</v>
      </c>
      <c r="C113" s="332" t="s">
        <v>625</v>
      </c>
      <c r="D113" s="331" t="s">
        <v>640</v>
      </c>
      <c r="E113" s="331">
        <v>27.0</v>
      </c>
      <c r="F113" s="331">
        <v>1.4</v>
      </c>
      <c r="G113" s="331">
        <v>4.6</v>
      </c>
      <c r="H113" s="331">
        <v>0.3</v>
      </c>
      <c r="I113" s="331" t="s">
        <v>642</v>
      </c>
      <c r="J113" s="14"/>
    </row>
    <row r="114">
      <c r="A114" s="266"/>
      <c r="B114" s="324">
        <v>107.0</v>
      </c>
      <c r="C114" s="332" t="s">
        <v>589</v>
      </c>
      <c r="D114" s="331" t="s">
        <v>640</v>
      </c>
      <c r="E114" s="331">
        <v>42.0</v>
      </c>
      <c r="F114" s="331">
        <v>0.9</v>
      </c>
      <c r="G114" s="331">
        <v>9.1</v>
      </c>
      <c r="H114" s="331">
        <v>0.2</v>
      </c>
      <c r="I114" s="331" t="s">
        <v>642</v>
      </c>
      <c r="J114" s="14"/>
    </row>
    <row r="115">
      <c r="A115" s="266"/>
      <c r="B115" s="328">
        <v>108.0</v>
      </c>
      <c r="C115" s="332" t="s">
        <v>597</v>
      </c>
      <c r="D115" s="331" t="s">
        <v>640</v>
      </c>
      <c r="E115" s="331">
        <v>36.0</v>
      </c>
      <c r="F115" s="331">
        <v>2.7</v>
      </c>
      <c r="G115" s="331">
        <v>4.9</v>
      </c>
      <c r="H115" s="331">
        <v>0.6</v>
      </c>
      <c r="I115" s="331" t="s">
        <v>642</v>
      </c>
      <c r="J115" s="14"/>
    </row>
    <row r="116">
      <c r="A116" s="266"/>
      <c r="B116" s="324">
        <v>109.0</v>
      </c>
      <c r="C116" s="332" t="s">
        <v>743</v>
      </c>
      <c r="D116" s="331" t="s">
        <v>640</v>
      </c>
      <c r="E116" s="331">
        <v>26.0</v>
      </c>
      <c r="F116" s="331">
        <v>1.0</v>
      </c>
      <c r="G116" s="331">
        <v>4.8</v>
      </c>
      <c r="H116" s="331">
        <v>0.3</v>
      </c>
      <c r="I116" s="331" t="s">
        <v>642</v>
      </c>
      <c r="J116" s="14"/>
    </row>
    <row r="117">
      <c r="A117" s="266"/>
      <c r="B117" s="328">
        <v>110.0</v>
      </c>
      <c r="C117" s="332" t="s">
        <v>744</v>
      </c>
      <c r="D117" s="331" t="s">
        <v>640</v>
      </c>
      <c r="E117" s="331">
        <v>35.0</v>
      </c>
      <c r="F117" s="331">
        <v>4.3</v>
      </c>
      <c r="G117" s="331">
        <v>3.1</v>
      </c>
      <c r="H117" s="331">
        <v>0.6</v>
      </c>
      <c r="I117" s="331" t="s">
        <v>642</v>
      </c>
      <c r="J117" s="14"/>
    </row>
    <row r="118">
      <c r="A118" s="266"/>
      <c r="B118" s="324">
        <v>111.0</v>
      </c>
      <c r="C118" s="332" t="s">
        <v>745</v>
      </c>
      <c r="D118" s="331" t="s">
        <v>640</v>
      </c>
      <c r="E118" s="331">
        <v>33.0</v>
      </c>
      <c r="F118" s="331">
        <v>4.4</v>
      </c>
      <c r="G118" s="331">
        <v>1.8</v>
      </c>
      <c r="H118" s="331">
        <v>0.9</v>
      </c>
      <c r="I118" s="331" t="s">
        <v>642</v>
      </c>
      <c r="J118" s="14"/>
    </row>
    <row r="119">
      <c r="A119" s="266"/>
      <c r="B119" s="328">
        <v>112.0</v>
      </c>
      <c r="C119" s="332" t="s">
        <v>746</v>
      </c>
      <c r="D119" s="331" t="s">
        <v>640</v>
      </c>
      <c r="E119" s="331">
        <v>31.0</v>
      </c>
      <c r="F119" s="331">
        <v>2.5</v>
      </c>
      <c r="G119" s="331">
        <v>4.4</v>
      </c>
      <c r="H119" s="331">
        <v>0.4</v>
      </c>
      <c r="I119" s="331" t="s">
        <v>642</v>
      </c>
      <c r="J119" s="14"/>
    </row>
    <row r="120">
      <c r="A120" s="266"/>
      <c r="B120" s="324">
        <v>113.0</v>
      </c>
      <c r="C120" s="332" t="s">
        <v>747</v>
      </c>
      <c r="D120" s="331" t="s">
        <v>640</v>
      </c>
      <c r="E120" s="331">
        <v>24.0</v>
      </c>
      <c r="F120" s="331">
        <v>2.1</v>
      </c>
      <c r="G120" s="331">
        <v>3.0</v>
      </c>
      <c r="H120" s="331">
        <v>0.4</v>
      </c>
      <c r="I120" s="331" t="s">
        <v>642</v>
      </c>
      <c r="J120" s="14"/>
    </row>
    <row r="121">
      <c r="A121" s="266"/>
      <c r="B121" s="328">
        <v>114.0</v>
      </c>
      <c r="C121" s="332" t="s">
        <v>748</v>
      </c>
      <c r="D121" s="331" t="s">
        <v>640</v>
      </c>
      <c r="E121" s="331">
        <v>25.0</v>
      </c>
      <c r="F121" s="331">
        <v>2.9</v>
      </c>
      <c r="G121" s="331">
        <v>2.0</v>
      </c>
      <c r="H121" s="331">
        <v>0.6</v>
      </c>
      <c r="I121" s="331" t="s">
        <v>642</v>
      </c>
      <c r="J121" s="14"/>
    </row>
    <row r="122">
      <c r="A122" s="266"/>
      <c r="B122" s="324">
        <v>115.0</v>
      </c>
      <c r="C122" s="332" t="s">
        <v>749</v>
      </c>
      <c r="D122" s="331" t="s">
        <v>640</v>
      </c>
      <c r="E122" s="331">
        <v>43.0</v>
      </c>
      <c r="F122" s="331">
        <v>3.5</v>
      </c>
      <c r="G122" s="331">
        <v>4.0</v>
      </c>
      <c r="H122" s="331">
        <v>1.4</v>
      </c>
      <c r="I122" s="331" t="s">
        <v>642</v>
      </c>
      <c r="J122" s="14"/>
    </row>
    <row r="123">
      <c r="A123" s="266"/>
      <c r="B123" s="328">
        <v>116.0</v>
      </c>
      <c r="C123" s="332" t="s">
        <v>750</v>
      </c>
      <c r="D123" s="331" t="s">
        <v>640</v>
      </c>
      <c r="E123" s="331">
        <v>34.0</v>
      </c>
      <c r="F123" s="331">
        <v>0.5</v>
      </c>
      <c r="G123" s="331">
        <v>7.7</v>
      </c>
      <c r="H123" s="331">
        <v>0.4</v>
      </c>
      <c r="I123" s="331" t="s">
        <v>642</v>
      </c>
      <c r="J123" s="14"/>
    </row>
    <row r="124">
      <c r="A124" s="266"/>
      <c r="B124" s="324">
        <v>117.0</v>
      </c>
      <c r="C124" s="332" t="s">
        <v>751</v>
      </c>
      <c r="D124" s="331" t="s">
        <v>640</v>
      </c>
      <c r="E124" s="331">
        <v>68.0</v>
      </c>
      <c r="F124" s="331">
        <v>5.3</v>
      </c>
      <c r="G124" s="331">
        <v>10.0</v>
      </c>
      <c r="H124" s="331">
        <v>0.7</v>
      </c>
      <c r="I124" s="331" t="s">
        <v>642</v>
      </c>
      <c r="J124" s="14"/>
    </row>
    <row r="125">
      <c r="A125" s="266"/>
      <c r="B125" s="328">
        <v>118.0</v>
      </c>
      <c r="C125" s="332" t="s">
        <v>752</v>
      </c>
      <c r="D125" s="331" t="s">
        <v>640</v>
      </c>
      <c r="E125" s="331">
        <v>18.0</v>
      </c>
      <c r="F125" s="331">
        <v>1.8</v>
      </c>
      <c r="G125" s="331">
        <v>1.8</v>
      </c>
      <c r="H125" s="331">
        <v>0.4</v>
      </c>
      <c r="I125" s="331" t="s">
        <v>642</v>
      </c>
      <c r="J125" s="14"/>
    </row>
    <row r="126">
      <c r="A126" s="266"/>
      <c r="B126" s="324">
        <v>119.0</v>
      </c>
      <c r="C126" s="332" t="s">
        <v>753</v>
      </c>
      <c r="D126" s="331" t="s">
        <v>640</v>
      </c>
      <c r="E126" s="331">
        <v>37.0</v>
      </c>
      <c r="F126" s="331">
        <v>1.0</v>
      </c>
      <c r="G126" s="331">
        <v>7.9</v>
      </c>
      <c r="H126" s="331">
        <v>0.1</v>
      </c>
      <c r="I126" s="331" t="s">
        <v>642</v>
      </c>
      <c r="J126" s="14"/>
    </row>
    <row r="127">
      <c r="A127" s="266"/>
      <c r="B127" s="328">
        <v>120.0</v>
      </c>
      <c r="C127" s="332" t="s">
        <v>754</v>
      </c>
      <c r="D127" s="331" t="s">
        <v>640</v>
      </c>
      <c r="E127" s="331">
        <v>15.0</v>
      </c>
      <c r="F127" s="331">
        <v>0.5</v>
      </c>
      <c r="G127" s="331">
        <v>3.0</v>
      </c>
      <c r="H127" s="331">
        <v>0.1</v>
      </c>
      <c r="I127" s="331" t="s">
        <v>642</v>
      </c>
      <c r="J127" s="14"/>
    </row>
    <row r="128">
      <c r="A128" s="266"/>
      <c r="B128" s="324">
        <v>121.0</v>
      </c>
      <c r="C128" s="332" t="s">
        <v>755</v>
      </c>
      <c r="D128" s="331" t="s">
        <v>640</v>
      </c>
      <c r="E128" s="331">
        <v>26.0</v>
      </c>
      <c r="F128" s="331">
        <v>1.7</v>
      </c>
      <c r="G128" s="331">
        <v>4.3</v>
      </c>
      <c r="H128" s="331">
        <v>0.2</v>
      </c>
      <c r="I128" s="331" t="s">
        <v>642</v>
      </c>
      <c r="J128" s="14"/>
    </row>
    <row r="129">
      <c r="A129" s="266"/>
      <c r="B129" s="328">
        <v>122.0</v>
      </c>
      <c r="C129" s="332" t="s">
        <v>756</v>
      </c>
      <c r="D129" s="331" t="s">
        <v>640</v>
      </c>
      <c r="E129" s="331">
        <v>37.0</v>
      </c>
      <c r="F129" s="331">
        <v>1.1</v>
      </c>
      <c r="G129" s="331">
        <v>7.9</v>
      </c>
      <c r="H129" s="331">
        <v>0.1</v>
      </c>
      <c r="I129" s="331" t="s">
        <v>642</v>
      </c>
      <c r="J129" s="14"/>
    </row>
    <row r="130">
      <c r="A130" s="266"/>
      <c r="B130" s="324">
        <v>123.0</v>
      </c>
      <c r="C130" s="332" t="s">
        <v>757</v>
      </c>
      <c r="D130" s="331" t="s">
        <v>640</v>
      </c>
      <c r="E130" s="331">
        <v>64.0</v>
      </c>
      <c r="F130" s="331">
        <v>1.8</v>
      </c>
      <c r="G130" s="331">
        <v>11.7</v>
      </c>
      <c r="H130" s="331">
        <v>1.1</v>
      </c>
      <c r="I130" s="331" t="s">
        <v>642</v>
      </c>
      <c r="J130" s="14"/>
    </row>
    <row r="131">
      <c r="A131" s="266"/>
      <c r="B131" s="328">
        <v>124.0</v>
      </c>
      <c r="C131" s="332" t="s">
        <v>758</v>
      </c>
      <c r="D131" s="331" t="s">
        <v>640</v>
      </c>
      <c r="E131" s="331">
        <v>37.0</v>
      </c>
      <c r="F131" s="331">
        <v>1.7</v>
      </c>
      <c r="G131" s="331">
        <v>7.2</v>
      </c>
      <c r="H131" s="331">
        <v>0.1</v>
      </c>
      <c r="I131" s="331" t="s">
        <v>759</v>
      </c>
      <c r="J131" s="14"/>
    </row>
    <row r="132">
      <c r="A132" s="266"/>
      <c r="B132" s="324">
        <v>125.0</v>
      </c>
      <c r="C132" s="332" t="s">
        <v>760</v>
      </c>
      <c r="D132" s="331" t="s">
        <v>640</v>
      </c>
      <c r="E132" s="331">
        <v>22.0</v>
      </c>
      <c r="F132" s="331">
        <v>2.1</v>
      </c>
      <c r="G132" s="331">
        <v>2.6</v>
      </c>
      <c r="H132" s="331">
        <v>0.4</v>
      </c>
      <c r="I132" s="331" t="s">
        <v>642</v>
      </c>
      <c r="J132" s="14"/>
    </row>
    <row r="133">
      <c r="A133" s="266"/>
      <c r="B133" s="328">
        <v>126.0</v>
      </c>
      <c r="C133" s="332" t="s">
        <v>761</v>
      </c>
      <c r="D133" s="331" t="s">
        <v>640</v>
      </c>
      <c r="E133" s="331">
        <v>89.0</v>
      </c>
      <c r="F133" s="331">
        <v>2.2</v>
      </c>
      <c r="G133" s="331">
        <v>10.6</v>
      </c>
      <c r="H133" s="331">
        <v>4.2</v>
      </c>
      <c r="I133" s="331" t="s">
        <v>642</v>
      </c>
      <c r="J133" s="14"/>
    </row>
    <row r="134">
      <c r="A134" s="266"/>
      <c r="B134" s="324">
        <v>127.0</v>
      </c>
      <c r="C134" s="332" t="s">
        <v>762</v>
      </c>
      <c r="D134" s="331" t="s">
        <v>640</v>
      </c>
      <c r="E134" s="331">
        <v>31.0</v>
      </c>
      <c r="F134" s="331">
        <v>2.9</v>
      </c>
      <c r="G134" s="331">
        <v>3.8</v>
      </c>
      <c r="H134" s="331">
        <v>0.5</v>
      </c>
      <c r="I134" s="331" t="s">
        <v>642</v>
      </c>
      <c r="J134" s="14"/>
    </row>
    <row r="135">
      <c r="A135" s="266"/>
      <c r="B135" s="328">
        <v>128.0</v>
      </c>
      <c r="C135" s="332" t="s">
        <v>763</v>
      </c>
      <c r="D135" s="331" t="s">
        <v>640</v>
      </c>
      <c r="E135" s="331">
        <v>0.0</v>
      </c>
      <c r="F135" s="331">
        <v>0.0</v>
      </c>
      <c r="G135" s="331">
        <v>0.0</v>
      </c>
      <c r="H135" s="331">
        <v>0.0</v>
      </c>
      <c r="I135" s="331" t="s">
        <v>688</v>
      </c>
      <c r="J135" s="14"/>
    </row>
    <row r="136">
      <c r="A136" s="266"/>
      <c r="B136" s="324">
        <v>129.0</v>
      </c>
      <c r="C136" s="332" t="s">
        <v>764</v>
      </c>
      <c r="D136" s="331" t="s">
        <v>640</v>
      </c>
      <c r="E136" s="331">
        <v>381.0</v>
      </c>
      <c r="F136" s="331">
        <v>0.0</v>
      </c>
      <c r="G136" s="331">
        <v>97.0</v>
      </c>
      <c r="H136" s="331">
        <v>0.0</v>
      </c>
      <c r="I136" s="331" t="s">
        <v>688</v>
      </c>
      <c r="J136" s="14"/>
    </row>
    <row r="137">
      <c r="A137" s="266"/>
      <c r="B137" s="328">
        <v>130.0</v>
      </c>
      <c r="C137" s="332" t="s">
        <v>765</v>
      </c>
      <c r="D137" s="331" t="s">
        <v>640</v>
      </c>
      <c r="E137" s="331">
        <v>168.0</v>
      </c>
      <c r="F137" s="331">
        <v>42.0</v>
      </c>
      <c r="G137" s="331">
        <v>0.0</v>
      </c>
      <c r="H137" s="331">
        <v>0.0</v>
      </c>
      <c r="I137" s="331" t="s">
        <v>688</v>
      </c>
      <c r="J137" s="14"/>
    </row>
    <row r="138">
      <c r="A138" s="266"/>
      <c r="B138" s="324">
        <v>131.0</v>
      </c>
      <c r="C138" s="332" t="s">
        <v>766</v>
      </c>
      <c r="D138" s="331" t="s">
        <v>767</v>
      </c>
      <c r="E138" s="331">
        <v>92.0</v>
      </c>
      <c r="F138" s="331">
        <v>3.7</v>
      </c>
      <c r="G138" s="331">
        <v>16.2</v>
      </c>
      <c r="H138" s="331">
        <v>0.7</v>
      </c>
      <c r="I138" s="331" t="s">
        <v>688</v>
      </c>
      <c r="J138" s="14"/>
    </row>
    <row r="139">
      <c r="A139" s="266"/>
      <c r="B139" s="328">
        <v>132.0</v>
      </c>
      <c r="C139" s="332" t="s">
        <v>604</v>
      </c>
      <c r="D139" s="331" t="s">
        <v>768</v>
      </c>
      <c r="E139" s="331">
        <v>200.0</v>
      </c>
      <c r="F139" s="331">
        <v>20.0</v>
      </c>
      <c r="G139" s="331">
        <v>20.0</v>
      </c>
      <c r="H139" s="331">
        <v>5.0</v>
      </c>
      <c r="I139" s="331" t="s">
        <v>688</v>
      </c>
      <c r="J139" s="14"/>
    </row>
    <row r="140">
      <c r="A140" s="266"/>
      <c r="B140" s="324">
        <v>133.0</v>
      </c>
      <c r="C140" s="332"/>
      <c r="D140" s="331"/>
      <c r="E140" s="331"/>
      <c r="F140" s="331"/>
      <c r="G140" s="331"/>
      <c r="H140" s="331"/>
      <c r="I140" s="331"/>
      <c r="J140" s="14"/>
    </row>
    <row r="141">
      <c r="A141" s="266"/>
      <c r="B141" s="328">
        <v>134.0</v>
      </c>
      <c r="C141" s="332"/>
      <c r="D141" s="331"/>
      <c r="E141" s="331"/>
      <c r="F141" s="331"/>
      <c r="G141" s="331"/>
      <c r="H141" s="331"/>
      <c r="I141" s="331"/>
      <c r="J141" s="14"/>
    </row>
    <row r="142">
      <c r="A142" s="266"/>
      <c r="B142" s="324">
        <v>135.0</v>
      </c>
      <c r="C142" s="332"/>
      <c r="D142" s="331"/>
      <c r="E142" s="331"/>
      <c r="F142" s="331"/>
      <c r="G142" s="331"/>
      <c r="H142" s="331"/>
      <c r="I142" s="331"/>
      <c r="J142" s="14"/>
    </row>
    <row r="143">
      <c r="A143" s="266"/>
      <c r="B143" s="328">
        <v>136.0</v>
      </c>
      <c r="C143" s="332"/>
      <c r="D143" s="331"/>
      <c r="E143" s="331"/>
      <c r="F143" s="331"/>
      <c r="G143" s="331"/>
      <c r="H143" s="331"/>
      <c r="I143" s="331"/>
      <c r="J143" s="14"/>
    </row>
    <row r="144">
      <c r="A144" s="266"/>
      <c r="B144" s="324">
        <v>137.0</v>
      </c>
      <c r="C144" s="332"/>
      <c r="D144" s="331"/>
      <c r="E144" s="331"/>
      <c r="F144" s="331"/>
      <c r="G144" s="331"/>
      <c r="H144" s="331"/>
      <c r="I144" s="331"/>
      <c r="J144" s="14"/>
    </row>
    <row r="145">
      <c r="A145" s="266"/>
      <c r="B145" s="328">
        <v>138.0</v>
      </c>
      <c r="C145" s="332"/>
      <c r="D145" s="331"/>
      <c r="E145" s="331"/>
      <c r="F145" s="331"/>
      <c r="G145" s="331"/>
      <c r="H145" s="331"/>
      <c r="I145" s="331"/>
      <c r="J145" s="14"/>
    </row>
    <row r="146">
      <c r="A146" s="266"/>
      <c r="B146" s="324">
        <v>139.0</v>
      </c>
      <c r="C146" s="332"/>
      <c r="D146" s="331"/>
      <c r="E146" s="331"/>
      <c r="F146" s="331"/>
      <c r="G146" s="331"/>
      <c r="H146" s="331"/>
      <c r="I146" s="331"/>
      <c r="J146" s="14"/>
    </row>
    <row r="147">
      <c r="A147" s="266"/>
      <c r="B147" s="328">
        <v>140.0</v>
      </c>
      <c r="C147" s="332"/>
      <c r="D147" s="331"/>
      <c r="E147" s="331"/>
      <c r="F147" s="331"/>
      <c r="G147" s="331"/>
      <c r="H147" s="331"/>
      <c r="I147" s="331"/>
      <c r="J147" s="14"/>
    </row>
    <row r="148">
      <c r="A148" s="266"/>
      <c r="B148" s="324">
        <v>141.0</v>
      </c>
      <c r="C148" s="332"/>
      <c r="D148" s="331"/>
      <c r="E148" s="331"/>
      <c r="F148" s="331"/>
      <c r="G148" s="331"/>
      <c r="H148" s="331"/>
      <c r="I148" s="331"/>
      <c r="J148" s="14"/>
    </row>
    <row r="149">
      <c r="A149" s="266"/>
      <c r="B149" s="328">
        <v>142.0</v>
      </c>
      <c r="C149" s="332"/>
      <c r="D149" s="331"/>
      <c r="E149" s="331"/>
      <c r="F149" s="331"/>
      <c r="G149" s="331"/>
      <c r="H149" s="331"/>
      <c r="I149" s="331"/>
      <c r="J149" s="14"/>
    </row>
    <row r="150">
      <c r="A150" s="266"/>
      <c r="B150" s="324">
        <v>143.0</v>
      </c>
      <c r="C150" s="332"/>
      <c r="D150" s="331"/>
      <c r="E150" s="331"/>
      <c r="F150" s="331"/>
      <c r="G150" s="331"/>
      <c r="H150" s="331"/>
      <c r="I150" s="331"/>
      <c r="J150" s="14"/>
    </row>
    <row r="151">
      <c r="A151" s="266"/>
      <c r="B151" s="328">
        <v>144.0</v>
      </c>
      <c r="C151" s="332"/>
      <c r="D151" s="331"/>
      <c r="E151" s="331"/>
      <c r="F151" s="331"/>
      <c r="G151" s="331"/>
      <c r="H151" s="331"/>
      <c r="I151" s="331"/>
      <c r="J151" s="14"/>
    </row>
    <row r="152">
      <c r="A152" s="266"/>
      <c r="B152" s="324">
        <v>145.0</v>
      </c>
      <c r="C152" s="332"/>
      <c r="D152" s="331"/>
      <c r="E152" s="331"/>
      <c r="F152" s="331"/>
      <c r="G152" s="331"/>
      <c r="H152" s="331"/>
      <c r="I152" s="331"/>
      <c r="J152" s="14"/>
    </row>
    <row r="153">
      <c r="A153" s="266"/>
      <c r="B153" s="328">
        <v>146.0</v>
      </c>
      <c r="C153" s="332"/>
      <c r="D153" s="331"/>
      <c r="E153" s="331"/>
      <c r="F153" s="331"/>
      <c r="G153" s="331"/>
      <c r="H153" s="331"/>
      <c r="I153" s="331"/>
      <c r="J153" s="14"/>
    </row>
    <row r="154">
      <c r="A154" s="266"/>
      <c r="B154" s="324">
        <v>147.0</v>
      </c>
      <c r="C154" s="332"/>
      <c r="D154" s="331"/>
      <c r="E154" s="331"/>
      <c r="F154" s="331"/>
      <c r="G154" s="331"/>
      <c r="H154" s="331"/>
      <c r="I154" s="331"/>
      <c r="J154" s="14"/>
    </row>
    <row r="155">
      <c r="A155" s="266"/>
      <c r="B155" s="328">
        <v>148.0</v>
      </c>
      <c r="C155" s="332"/>
      <c r="D155" s="331"/>
      <c r="E155" s="331"/>
      <c r="F155" s="331"/>
      <c r="G155" s="331"/>
      <c r="H155" s="331"/>
      <c r="I155" s="331"/>
      <c r="J155" s="14"/>
    </row>
    <row r="156">
      <c r="A156" s="266"/>
      <c r="B156" s="324">
        <v>149.0</v>
      </c>
      <c r="C156" s="332"/>
      <c r="D156" s="331"/>
      <c r="E156" s="331"/>
      <c r="F156" s="331"/>
      <c r="G156" s="331"/>
      <c r="H156" s="331"/>
      <c r="I156" s="331"/>
      <c r="J156" s="14"/>
    </row>
    <row r="157">
      <c r="A157" s="266"/>
      <c r="B157" s="328">
        <v>150.0</v>
      </c>
      <c r="C157" s="332"/>
      <c r="D157" s="331"/>
      <c r="E157" s="331"/>
      <c r="F157" s="331"/>
      <c r="G157" s="331"/>
      <c r="H157" s="331"/>
      <c r="I157" s="331"/>
      <c r="J157" s="14"/>
    </row>
    <row r="158">
      <c r="A158" s="266"/>
      <c r="B158" s="324">
        <v>151.0</v>
      </c>
      <c r="C158" s="332"/>
      <c r="D158" s="331"/>
      <c r="E158" s="331"/>
      <c r="F158" s="331"/>
      <c r="G158" s="331"/>
      <c r="H158" s="331"/>
      <c r="I158" s="331"/>
      <c r="J158" s="14"/>
    </row>
    <row r="159">
      <c r="A159" s="266"/>
      <c r="B159" s="328">
        <v>152.0</v>
      </c>
      <c r="C159" s="332"/>
      <c r="D159" s="331"/>
      <c r="E159" s="331"/>
      <c r="F159" s="331"/>
      <c r="G159" s="331"/>
      <c r="H159" s="331"/>
      <c r="I159" s="331"/>
      <c r="J159" s="14"/>
    </row>
    <row r="160">
      <c r="A160" s="266"/>
      <c r="B160" s="324">
        <v>153.0</v>
      </c>
      <c r="C160" s="332"/>
      <c r="D160" s="331"/>
      <c r="E160" s="331"/>
      <c r="F160" s="331"/>
      <c r="G160" s="331"/>
      <c r="H160" s="331"/>
      <c r="I160" s="331"/>
      <c r="J160" s="14"/>
    </row>
    <row r="161">
      <c r="A161" s="266"/>
      <c r="B161" s="328">
        <v>154.0</v>
      </c>
      <c r="C161" s="332"/>
      <c r="D161" s="331"/>
      <c r="E161" s="331"/>
      <c r="F161" s="331"/>
      <c r="G161" s="331"/>
      <c r="H161" s="331"/>
      <c r="I161" s="331"/>
      <c r="J161" s="14"/>
    </row>
    <row r="162">
      <c r="A162" s="266"/>
      <c r="B162" s="324">
        <v>155.0</v>
      </c>
      <c r="C162" s="332"/>
      <c r="D162" s="331"/>
      <c r="E162" s="331"/>
      <c r="F162" s="331"/>
      <c r="G162" s="331"/>
      <c r="H162" s="331"/>
      <c r="I162" s="331"/>
      <c r="J162" s="14"/>
    </row>
    <row r="163">
      <c r="A163" s="266"/>
      <c r="B163" s="328">
        <v>156.0</v>
      </c>
      <c r="C163" s="332"/>
      <c r="D163" s="331"/>
      <c r="E163" s="331"/>
      <c r="F163" s="331"/>
      <c r="G163" s="331"/>
      <c r="H163" s="331"/>
      <c r="I163" s="331"/>
      <c r="J163" s="14"/>
    </row>
    <row r="164">
      <c r="A164" s="266"/>
      <c r="B164" s="324">
        <v>157.0</v>
      </c>
      <c r="C164" s="332"/>
      <c r="D164" s="331"/>
      <c r="E164" s="331"/>
      <c r="F164" s="331"/>
      <c r="G164" s="331"/>
      <c r="H164" s="331"/>
      <c r="I164" s="331"/>
      <c r="J164" s="14"/>
    </row>
    <row r="165">
      <c r="A165" s="266"/>
      <c r="B165" s="328">
        <v>158.0</v>
      </c>
      <c r="C165" s="332"/>
      <c r="D165" s="331"/>
      <c r="E165" s="331"/>
      <c r="F165" s="331"/>
      <c r="G165" s="331"/>
      <c r="H165" s="331"/>
      <c r="I165" s="331"/>
      <c r="J165" s="14"/>
    </row>
    <row r="166">
      <c r="A166" s="266"/>
      <c r="B166" s="324">
        <v>159.0</v>
      </c>
      <c r="C166" s="332"/>
      <c r="D166" s="331"/>
      <c r="E166" s="331"/>
      <c r="F166" s="331"/>
      <c r="G166" s="331"/>
      <c r="H166" s="331"/>
      <c r="I166" s="331"/>
      <c r="J166" s="14"/>
    </row>
    <row r="167">
      <c r="A167" s="266"/>
      <c r="B167" s="328">
        <v>160.0</v>
      </c>
      <c r="C167" s="332"/>
      <c r="D167" s="331"/>
      <c r="E167" s="331"/>
      <c r="F167" s="331"/>
      <c r="G167" s="331"/>
      <c r="H167" s="331"/>
      <c r="I167" s="331"/>
      <c r="J167" s="14"/>
    </row>
    <row r="168">
      <c r="A168" s="266"/>
      <c r="B168" s="324">
        <v>161.0</v>
      </c>
      <c r="C168" s="332"/>
      <c r="D168" s="331"/>
      <c r="E168" s="331"/>
      <c r="F168" s="331"/>
      <c r="G168" s="331"/>
      <c r="H168" s="331"/>
      <c r="I168" s="331"/>
      <c r="J168" s="14"/>
    </row>
    <row r="169">
      <c r="A169" s="266"/>
      <c r="B169" s="328">
        <v>162.0</v>
      </c>
      <c r="C169" s="332"/>
      <c r="D169" s="331"/>
      <c r="E169" s="331"/>
      <c r="F169" s="331"/>
      <c r="G169" s="331"/>
      <c r="H169" s="331"/>
      <c r="I169" s="331"/>
      <c r="J169" s="14"/>
    </row>
    <row r="170">
      <c r="A170" s="266"/>
      <c r="B170" s="324">
        <v>163.0</v>
      </c>
      <c r="C170" s="332"/>
      <c r="D170" s="331"/>
      <c r="E170" s="331"/>
      <c r="F170" s="331"/>
      <c r="G170" s="331"/>
      <c r="H170" s="331"/>
      <c r="I170" s="331"/>
      <c r="J170" s="14"/>
    </row>
    <row r="171">
      <c r="A171" s="266"/>
      <c r="B171" s="328">
        <v>164.0</v>
      </c>
      <c r="C171" s="332"/>
      <c r="D171" s="331"/>
      <c r="E171" s="331"/>
      <c r="F171" s="331"/>
      <c r="G171" s="331"/>
      <c r="H171" s="331"/>
      <c r="I171" s="331"/>
      <c r="J171" s="14"/>
    </row>
    <row r="172">
      <c r="A172" s="266"/>
      <c r="B172" s="324">
        <v>165.0</v>
      </c>
      <c r="C172" s="332"/>
      <c r="D172" s="331"/>
      <c r="E172" s="331"/>
      <c r="F172" s="331"/>
      <c r="G172" s="331"/>
      <c r="H172" s="331"/>
      <c r="I172" s="331"/>
      <c r="J172" s="14"/>
    </row>
    <row r="173">
      <c r="A173" s="266"/>
      <c r="B173" s="328">
        <v>166.0</v>
      </c>
      <c r="C173" s="332"/>
      <c r="D173" s="331"/>
      <c r="E173" s="331"/>
      <c r="F173" s="331"/>
      <c r="G173" s="331"/>
      <c r="H173" s="331"/>
      <c r="I173" s="331"/>
      <c r="J173" s="14"/>
    </row>
    <row r="174">
      <c r="A174" s="266"/>
      <c r="B174" s="324">
        <v>167.0</v>
      </c>
      <c r="C174" s="332"/>
      <c r="D174" s="331"/>
      <c r="E174" s="331"/>
      <c r="F174" s="331"/>
      <c r="G174" s="331"/>
      <c r="H174" s="331"/>
      <c r="I174" s="331"/>
      <c r="J174" s="14"/>
    </row>
    <row r="175">
      <c r="A175" s="266"/>
      <c r="B175" s="328">
        <v>168.0</v>
      </c>
      <c r="C175" s="332"/>
      <c r="D175" s="331"/>
      <c r="E175" s="331"/>
      <c r="F175" s="331"/>
      <c r="G175" s="331"/>
      <c r="H175" s="331"/>
      <c r="I175" s="331"/>
      <c r="J175" s="14"/>
    </row>
    <row r="176">
      <c r="A176" s="266"/>
      <c r="B176" s="324">
        <v>169.0</v>
      </c>
      <c r="C176" s="332"/>
      <c r="D176" s="331"/>
      <c r="E176" s="331"/>
      <c r="F176" s="331"/>
      <c r="G176" s="331"/>
      <c r="H176" s="331"/>
      <c r="I176" s="331"/>
      <c r="J176" s="14"/>
    </row>
    <row r="177">
      <c r="A177" s="266"/>
      <c r="B177" s="328">
        <v>170.0</v>
      </c>
      <c r="C177" s="332"/>
      <c r="D177" s="331"/>
      <c r="E177" s="331"/>
      <c r="F177" s="331"/>
      <c r="G177" s="331"/>
      <c r="H177" s="331"/>
      <c r="I177" s="331"/>
      <c r="J177" s="14"/>
    </row>
    <row r="178">
      <c r="A178" s="266"/>
      <c r="B178" s="324">
        <v>171.0</v>
      </c>
      <c r="C178" s="332"/>
      <c r="D178" s="331"/>
      <c r="E178" s="331"/>
      <c r="F178" s="331"/>
      <c r="G178" s="331"/>
      <c r="H178" s="331"/>
      <c r="I178" s="331"/>
      <c r="J178" s="14"/>
    </row>
    <row r="179">
      <c r="A179" s="266"/>
      <c r="B179" s="328">
        <v>172.0</v>
      </c>
      <c r="C179" s="332"/>
      <c r="D179" s="331"/>
      <c r="E179" s="331"/>
      <c r="F179" s="331"/>
      <c r="G179" s="331"/>
      <c r="H179" s="331"/>
      <c r="I179" s="331"/>
      <c r="J179" s="14"/>
    </row>
    <row r="180">
      <c r="A180" s="266"/>
      <c r="B180" s="324">
        <v>173.0</v>
      </c>
      <c r="C180" s="332"/>
      <c r="D180" s="331"/>
      <c r="E180" s="331"/>
      <c r="F180" s="331"/>
      <c r="G180" s="331"/>
      <c r="H180" s="331"/>
      <c r="I180" s="331"/>
      <c r="J180" s="14"/>
    </row>
    <row r="181">
      <c r="A181" s="266"/>
      <c r="B181" s="328">
        <v>174.0</v>
      </c>
      <c r="C181" s="332"/>
      <c r="D181" s="331"/>
      <c r="E181" s="331"/>
      <c r="F181" s="331"/>
      <c r="G181" s="331"/>
      <c r="H181" s="331"/>
      <c r="I181" s="331"/>
      <c r="J181" s="14"/>
    </row>
    <row r="182">
      <c r="A182" s="266"/>
      <c r="B182" s="324">
        <v>175.0</v>
      </c>
      <c r="C182" s="332"/>
      <c r="D182" s="331"/>
      <c r="E182" s="331"/>
      <c r="F182" s="331"/>
      <c r="G182" s="331"/>
      <c r="H182" s="331"/>
      <c r="I182" s="331"/>
      <c r="J182" s="14"/>
    </row>
    <row r="183">
      <c r="A183" s="266"/>
      <c r="B183" s="328">
        <v>176.0</v>
      </c>
      <c r="C183" s="332"/>
      <c r="D183" s="331"/>
      <c r="E183" s="331"/>
      <c r="F183" s="331"/>
      <c r="G183" s="331"/>
      <c r="H183" s="331"/>
      <c r="I183" s="331"/>
      <c r="J183" s="14"/>
    </row>
    <row r="184">
      <c r="A184" s="266"/>
      <c r="B184" s="324">
        <v>177.0</v>
      </c>
      <c r="C184" s="332"/>
      <c r="D184" s="331"/>
      <c r="E184" s="331"/>
      <c r="F184" s="331"/>
      <c r="G184" s="331"/>
      <c r="H184" s="331"/>
      <c r="I184" s="331"/>
      <c r="J184" s="14"/>
    </row>
    <row r="185">
      <c r="A185" s="266"/>
      <c r="B185" s="328">
        <v>178.0</v>
      </c>
      <c r="C185" s="332"/>
      <c r="D185" s="331"/>
      <c r="E185" s="331"/>
      <c r="F185" s="331"/>
      <c r="G185" s="331"/>
      <c r="H185" s="331"/>
      <c r="I185" s="331"/>
      <c r="J185" s="14"/>
    </row>
    <row r="186">
      <c r="A186" s="266"/>
      <c r="B186" s="324">
        <v>179.0</v>
      </c>
      <c r="C186" s="332"/>
      <c r="D186" s="331"/>
      <c r="E186" s="331"/>
      <c r="F186" s="331"/>
      <c r="G186" s="331"/>
      <c r="H186" s="331"/>
      <c r="I186" s="331"/>
      <c r="J186" s="14"/>
    </row>
    <row r="187">
      <c r="A187" s="266"/>
      <c r="B187" s="328">
        <v>180.0</v>
      </c>
      <c r="C187" s="332"/>
      <c r="D187" s="331"/>
      <c r="E187" s="331"/>
      <c r="F187" s="331"/>
      <c r="G187" s="331"/>
      <c r="H187" s="331"/>
      <c r="I187" s="331"/>
      <c r="J187" s="14"/>
    </row>
    <row r="188">
      <c r="A188" s="266"/>
      <c r="B188" s="324">
        <v>181.0</v>
      </c>
      <c r="C188" s="332"/>
      <c r="D188" s="331"/>
      <c r="E188" s="331"/>
      <c r="F188" s="331"/>
      <c r="G188" s="331"/>
      <c r="H188" s="331"/>
      <c r="I188" s="331"/>
      <c r="J188" s="14"/>
    </row>
    <row r="189">
      <c r="A189" s="266"/>
      <c r="B189" s="328">
        <v>182.0</v>
      </c>
      <c r="C189" s="332"/>
      <c r="D189" s="331"/>
      <c r="E189" s="331"/>
      <c r="F189" s="331"/>
      <c r="G189" s="331"/>
      <c r="H189" s="331"/>
      <c r="I189" s="331"/>
      <c r="J189" s="14"/>
    </row>
    <row r="190">
      <c r="A190" s="266"/>
      <c r="B190" s="324">
        <v>183.0</v>
      </c>
      <c r="C190" s="332"/>
      <c r="D190" s="331"/>
      <c r="E190" s="331"/>
      <c r="F190" s="331"/>
      <c r="G190" s="331"/>
      <c r="H190" s="331"/>
      <c r="I190" s="331"/>
      <c r="J190" s="14"/>
    </row>
    <row r="191">
      <c r="A191" s="266"/>
      <c r="B191" s="328">
        <v>184.0</v>
      </c>
      <c r="C191" s="332"/>
      <c r="D191" s="331"/>
      <c r="E191" s="331"/>
      <c r="F191" s="331"/>
      <c r="G191" s="331"/>
      <c r="H191" s="331"/>
      <c r="I191" s="331"/>
      <c r="J191" s="14"/>
    </row>
    <row r="192">
      <c r="A192" s="266"/>
      <c r="B192" s="324">
        <v>185.0</v>
      </c>
      <c r="C192" s="332"/>
      <c r="D192" s="331"/>
      <c r="E192" s="331"/>
      <c r="F192" s="331"/>
      <c r="G192" s="331"/>
      <c r="H192" s="331"/>
      <c r="I192" s="331"/>
      <c r="J192" s="14"/>
    </row>
    <row r="193">
      <c r="A193" s="266"/>
      <c r="B193" s="328">
        <v>186.0</v>
      </c>
      <c r="C193" s="332"/>
      <c r="D193" s="331"/>
      <c r="E193" s="331"/>
      <c r="F193" s="331"/>
      <c r="G193" s="331"/>
      <c r="H193" s="331"/>
      <c r="I193" s="331"/>
      <c r="J193" s="14"/>
    </row>
    <row r="194">
      <c r="A194" s="266"/>
      <c r="B194" s="324">
        <v>187.0</v>
      </c>
      <c r="C194" s="332"/>
      <c r="D194" s="331"/>
      <c r="E194" s="331"/>
      <c r="F194" s="331"/>
      <c r="G194" s="331"/>
      <c r="H194" s="331"/>
      <c r="I194" s="331"/>
      <c r="J194" s="14"/>
    </row>
    <row r="195">
      <c r="A195" s="266"/>
      <c r="B195" s="328">
        <v>188.0</v>
      </c>
      <c r="C195" s="332"/>
      <c r="D195" s="331"/>
      <c r="E195" s="331"/>
      <c r="F195" s="331"/>
      <c r="G195" s="331"/>
      <c r="H195" s="331"/>
      <c r="I195" s="331"/>
      <c r="J195" s="14"/>
    </row>
    <row r="196">
      <c r="A196" s="266"/>
      <c r="B196" s="324">
        <v>189.0</v>
      </c>
      <c r="C196" s="332"/>
      <c r="D196" s="331"/>
      <c r="E196" s="331"/>
      <c r="F196" s="331"/>
      <c r="G196" s="331"/>
      <c r="H196" s="331"/>
      <c r="I196" s="331"/>
      <c r="J196" s="14"/>
    </row>
    <row r="197">
      <c r="A197" s="266"/>
      <c r="B197" s="328">
        <v>190.0</v>
      </c>
      <c r="C197" s="332"/>
      <c r="D197" s="331"/>
      <c r="E197" s="331"/>
      <c r="F197" s="331"/>
      <c r="G197" s="331"/>
      <c r="H197" s="331"/>
      <c r="I197" s="331"/>
      <c r="J197" s="14"/>
    </row>
    <row r="198">
      <c r="A198" s="266"/>
      <c r="B198" s="324">
        <v>191.0</v>
      </c>
      <c r="C198" s="332"/>
      <c r="D198" s="331"/>
      <c r="E198" s="331"/>
      <c r="F198" s="331"/>
      <c r="G198" s="331"/>
      <c r="H198" s="331"/>
      <c r="I198" s="331"/>
      <c r="J198" s="14"/>
    </row>
    <row r="199">
      <c r="A199" s="266"/>
      <c r="B199" s="328">
        <v>192.0</v>
      </c>
      <c r="C199" s="332"/>
      <c r="D199" s="331"/>
      <c r="E199" s="331"/>
      <c r="F199" s="331"/>
      <c r="G199" s="331"/>
      <c r="H199" s="331"/>
      <c r="I199" s="331"/>
      <c r="J199" s="14"/>
    </row>
    <row r="200">
      <c r="A200" s="266"/>
      <c r="B200" s="324">
        <v>193.0</v>
      </c>
      <c r="C200" s="332"/>
      <c r="D200" s="331"/>
      <c r="E200" s="331"/>
      <c r="F200" s="331"/>
      <c r="G200" s="331"/>
      <c r="H200" s="331"/>
      <c r="I200" s="331"/>
      <c r="J200" s="14"/>
    </row>
    <row r="201">
      <c r="A201" s="266"/>
      <c r="B201" s="328">
        <v>194.0</v>
      </c>
      <c r="C201" s="332"/>
      <c r="D201" s="331"/>
      <c r="E201" s="331"/>
      <c r="F201" s="331"/>
      <c r="G201" s="331"/>
      <c r="H201" s="331"/>
      <c r="I201" s="331"/>
      <c r="J201" s="14"/>
    </row>
    <row r="202">
      <c r="A202" s="266"/>
      <c r="B202" s="324">
        <v>195.0</v>
      </c>
      <c r="C202" s="332"/>
      <c r="D202" s="331"/>
      <c r="E202" s="331"/>
      <c r="F202" s="331"/>
      <c r="G202" s="331"/>
      <c r="H202" s="331"/>
      <c r="I202" s="331"/>
      <c r="J202" s="14"/>
    </row>
    <row r="203">
      <c r="A203" s="266"/>
      <c r="B203" s="328">
        <v>196.0</v>
      </c>
      <c r="C203" s="332"/>
      <c r="D203" s="331"/>
      <c r="E203" s="331"/>
      <c r="F203" s="331"/>
      <c r="G203" s="331"/>
      <c r="H203" s="331"/>
      <c r="I203" s="331"/>
      <c r="J203" s="14"/>
    </row>
    <row r="204">
      <c r="A204" s="266"/>
      <c r="B204" s="324">
        <v>197.0</v>
      </c>
      <c r="C204" s="332"/>
      <c r="D204" s="331"/>
      <c r="E204" s="331"/>
      <c r="F204" s="331"/>
      <c r="G204" s="331"/>
      <c r="H204" s="331"/>
      <c r="I204" s="331"/>
      <c r="J204" s="14"/>
    </row>
    <row r="205">
      <c r="A205" s="266"/>
      <c r="B205" s="328">
        <v>198.0</v>
      </c>
      <c r="C205" s="332"/>
      <c r="D205" s="331"/>
      <c r="E205" s="331"/>
      <c r="F205" s="331"/>
      <c r="G205" s="331"/>
      <c r="H205" s="331"/>
      <c r="I205" s="331"/>
      <c r="J205" s="14"/>
    </row>
    <row r="206">
      <c r="A206" s="266"/>
      <c r="B206" s="324">
        <v>199.0</v>
      </c>
      <c r="C206" s="332"/>
      <c r="D206" s="331"/>
      <c r="E206" s="331"/>
      <c r="F206" s="331"/>
      <c r="G206" s="331"/>
      <c r="H206" s="331"/>
      <c r="I206" s="331"/>
      <c r="J206" s="14"/>
    </row>
    <row r="207">
      <c r="A207" s="266"/>
      <c r="B207" s="328">
        <v>200.0</v>
      </c>
      <c r="C207" s="332"/>
      <c r="D207" s="331"/>
      <c r="E207" s="331"/>
      <c r="F207" s="331"/>
      <c r="G207" s="331"/>
      <c r="H207" s="331"/>
      <c r="I207" s="331"/>
      <c r="J207" s="14"/>
    </row>
    <row r="208">
      <c r="A208" s="266"/>
      <c r="B208" s="324">
        <v>201.0</v>
      </c>
      <c r="C208" s="332"/>
      <c r="D208" s="331"/>
      <c r="E208" s="331"/>
      <c r="F208" s="331"/>
      <c r="G208" s="331"/>
      <c r="H208" s="331"/>
      <c r="I208" s="331"/>
      <c r="J208" s="14"/>
    </row>
    <row r="209">
      <c r="A209" s="266"/>
      <c r="B209" s="328">
        <v>202.0</v>
      </c>
      <c r="C209" s="332"/>
      <c r="D209" s="331"/>
      <c r="E209" s="331"/>
      <c r="F209" s="331"/>
      <c r="G209" s="331"/>
      <c r="H209" s="331"/>
      <c r="I209" s="331"/>
      <c r="J209" s="14"/>
    </row>
    <row r="210">
      <c r="A210" s="266"/>
      <c r="B210" s="324">
        <v>203.0</v>
      </c>
      <c r="C210" s="332"/>
      <c r="D210" s="331"/>
      <c r="E210" s="331"/>
      <c r="F210" s="331"/>
      <c r="G210" s="331"/>
      <c r="H210" s="331"/>
      <c r="I210" s="331"/>
      <c r="J210" s="14"/>
    </row>
    <row r="211">
      <c r="A211" s="266"/>
      <c r="B211" s="328">
        <v>204.0</v>
      </c>
      <c r="C211" s="332"/>
      <c r="D211" s="331"/>
      <c r="E211" s="331"/>
      <c r="F211" s="331"/>
      <c r="G211" s="331"/>
      <c r="H211" s="331"/>
      <c r="I211" s="331"/>
      <c r="J211" s="14"/>
    </row>
    <row r="212">
      <c r="A212" s="266"/>
      <c r="B212" s="324">
        <v>205.0</v>
      </c>
      <c r="C212" s="332"/>
      <c r="D212" s="331"/>
      <c r="E212" s="331"/>
      <c r="F212" s="331"/>
      <c r="G212" s="331"/>
      <c r="H212" s="331"/>
      <c r="I212" s="331"/>
      <c r="J212" s="14"/>
    </row>
    <row r="213">
      <c r="A213" s="266"/>
      <c r="B213" s="328">
        <v>206.0</v>
      </c>
      <c r="C213" s="332"/>
      <c r="D213" s="331"/>
      <c r="E213" s="331"/>
      <c r="F213" s="331"/>
      <c r="G213" s="331"/>
      <c r="H213" s="331"/>
      <c r="I213" s="331"/>
      <c r="J213" s="14"/>
    </row>
    <row r="214">
      <c r="A214" s="266"/>
      <c r="B214" s="324">
        <v>207.0</v>
      </c>
      <c r="C214" s="332"/>
      <c r="D214" s="331"/>
      <c r="E214" s="331"/>
      <c r="F214" s="331"/>
      <c r="G214" s="331"/>
      <c r="H214" s="331"/>
      <c r="I214" s="331"/>
      <c r="J214" s="14"/>
    </row>
    <row r="215">
      <c r="A215" s="266"/>
      <c r="B215" s="328">
        <v>208.0</v>
      </c>
      <c r="C215" s="332"/>
      <c r="D215" s="331"/>
      <c r="E215" s="331"/>
      <c r="F215" s="331"/>
      <c r="G215" s="331"/>
      <c r="H215" s="331"/>
      <c r="I215" s="331"/>
      <c r="J215" s="14"/>
    </row>
    <row r="216">
      <c r="A216" s="266"/>
      <c r="B216" s="324">
        <v>209.0</v>
      </c>
      <c r="C216" s="332"/>
      <c r="D216" s="331"/>
      <c r="E216" s="331"/>
      <c r="F216" s="331"/>
      <c r="G216" s="331"/>
      <c r="H216" s="331"/>
      <c r="I216" s="331"/>
      <c r="J216" s="14"/>
    </row>
    <row r="217">
      <c r="A217" s="266"/>
      <c r="B217" s="328">
        <v>210.0</v>
      </c>
      <c r="C217" s="332"/>
      <c r="D217" s="331"/>
      <c r="E217" s="331"/>
      <c r="F217" s="331"/>
      <c r="G217" s="331"/>
      <c r="H217" s="331"/>
      <c r="I217" s="331"/>
      <c r="J217" s="14"/>
    </row>
    <row r="218">
      <c r="A218" s="266"/>
      <c r="B218" s="324">
        <v>211.0</v>
      </c>
      <c r="C218" s="332"/>
      <c r="D218" s="331"/>
      <c r="E218" s="331"/>
      <c r="F218" s="331"/>
      <c r="G218" s="331"/>
      <c r="H218" s="331"/>
      <c r="I218" s="331"/>
      <c r="J218" s="14"/>
    </row>
    <row r="219">
      <c r="A219" s="266"/>
      <c r="B219" s="328">
        <v>212.0</v>
      </c>
      <c r="C219" s="332"/>
      <c r="D219" s="331"/>
      <c r="E219" s="331"/>
      <c r="F219" s="331"/>
      <c r="G219" s="331"/>
      <c r="H219" s="331"/>
      <c r="I219" s="331"/>
      <c r="J219" s="14"/>
    </row>
    <row r="220">
      <c r="A220" s="266"/>
      <c r="B220" s="324">
        <v>213.0</v>
      </c>
      <c r="C220" s="332"/>
      <c r="D220" s="331"/>
      <c r="E220" s="331"/>
      <c r="F220" s="331"/>
      <c r="G220" s="331"/>
      <c r="H220" s="331"/>
      <c r="I220" s="331"/>
      <c r="J220" s="14"/>
    </row>
    <row r="221">
      <c r="A221" s="266"/>
      <c r="B221" s="328">
        <v>214.0</v>
      </c>
      <c r="C221" s="332"/>
      <c r="D221" s="331"/>
      <c r="E221" s="331"/>
      <c r="F221" s="331"/>
      <c r="G221" s="331"/>
      <c r="H221" s="331"/>
      <c r="I221" s="331"/>
      <c r="J221" s="14"/>
    </row>
    <row r="222">
      <c r="A222" s="266"/>
      <c r="B222" s="324">
        <v>215.0</v>
      </c>
      <c r="C222" s="332"/>
      <c r="D222" s="331"/>
      <c r="E222" s="331"/>
      <c r="F222" s="331"/>
      <c r="G222" s="331"/>
      <c r="H222" s="331"/>
      <c r="I222" s="331"/>
      <c r="J222" s="14"/>
    </row>
    <row r="223">
      <c r="A223" s="266"/>
      <c r="B223" s="328">
        <v>216.0</v>
      </c>
      <c r="C223" s="332"/>
      <c r="D223" s="331"/>
      <c r="E223" s="331"/>
      <c r="F223" s="331"/>
      <c r="G223" s="331"/>
      <c r="H223" s="331"/>
      <c r="I223" s="331"/>
      <c r="J223" s="14"/>
    </row>
    <row r="224">
      <c r="A224" s="266"/>
      <c r="B224" s="324">
        <v>217.0</v>
      </c>
      <c r="C224" s="332"/>
      <c r="D224" s="331"/>
      <c r="E224" s="331"/>
      <c r="F224" s="331"/>
      <c r="G224" s="331"/>
      <c r="H224" s="331"/>
      <c r="I224" s="331"/>
      <c r="J224" s="14"/>
    </row>
    <row r="225">
      <c r="A225" s="266"/>
      <c r="B225" s="328">
        <v>218.0</v>
      </c>
      <c r="C225" s="332"/>
      <c r="D225" s="331"/>
      <c r="E225" s="331"/>
      <c r="F225" s="331"/>
      <c r="G225" s="331"/>
      <c r="H225" s="331"/>
      <c r="I225" s="331"/>
      <c r="J225" s="14"/>
    </row>
    <row r="226">
      <c r="A226" s="266"/>
      <c r="B226" s="324">
        <v>219.0</v>
      </c>
      <c r="C226" s="332"/>
      <c r="D226" s="331"/>
      <c r="E226" s="331"/>
      <c r="F226" s="331"/>
      <c r="G226" s="331"/>
      <c r="H226" s="331"/>
      <c r="I226" s="331"/>
      <c r="J226" s="14"/>
    </row>
    <row r="227">
      <c r="A227" s="266"/>
      <c r="B227" s="328">
        <v>220.0</v>
      </c>
      <c r="C227" s="332"/>
      <c r="D227" s="331"/>
      <c r="E227" s="331"/>
      <c r="F227" s="331"/>
      <c r="G227" s="331"/>
      <c r="H227" s="331"/>
      <c r="I227" s="331"/>
      <c r="J227" s="14"/>
    </row>
    <row r="228">
      <c r="A228" s="266"/>
      <c r="B228" s="324">
        <v>221.0</v>
      </c>
      <c r="C228" s="332"/>
      <c r="D228" s="331"/>
      <c r="E228" s="331"/>
      <c r="F228" s="331"/>
      <c r="G228" s="331"/>
      <c r="H228" s="331"/>
      <c r="I228" s="331"/>
      <c r="J228" s="14"/>
    </row>
    <row r="229">
      <c r="A229" s="266"/>
      <c r="B229" s="328">
        <v>222.0</v>
      </c>
      <c r="C229" s="332"/>
      <c r="D229" s="331"/>
      <c r="E229" s="331"/>
      <c r="F229" s="331"/>
      <c r="G229" s="331"/>
      <c r="H229" s="331"/>
      <c r="I229" s="331"/>
      <c r="J229" s="14"/>
    </row>
    <row r="230">
      <c r="A230" s="266"/>
      <c r="B230" s="324">
        <v>223.0</v>
      </c>
      <c r="C230" s="332"/>
      <c r="D230" s="331"/>
      <c r="E230" s="331"/>
      <c r="F230" s="331"/>
      <c r="G230" s="331"/>
      <c r="H230" s="331"/>
      <c r="I230" s="331"/>
      <c r="J230" s="14"/>
    </row>
    <row r="231">
      <c r="A231" s="266"/>
      <c r="B231" s="324">
        <v>224.0</v>
      </c>
      <c r="C231" s="333"/>
      <c r="D231" s="334"/>
      <c r="E231" s="334"/>
      <c r="F231" s="334"/>
      <c r="G231" s="334"/>
      <c r="H231" s="334"/>
      <c r="I231" s="334"/>
      <c r="J231" s="14"/>
    </row>
    <row r="232">
      <c r="A232" s="266"/>
      <c r="B232" s="335">
        <v>225.0</v>
      </c>
      <c r="C232" s="336"/>
      <c r="D232" s="337"/>
      <c r="E232" s="337"/>
      <c r="F232" s="337"/>
      <c r="G232" s="337"/>
      <c r="H232" s="337"/>
      <c r="I232" s="337"/>
      <c r="J232" s="14"/>
    </row>
    <row r="233" ht="33.75" customHeight="1">
      <c r="A233" s="307"/>
      <c r="B233" s="338" t="s">
        <v>464</v>
      </c>
      <c r="C233" s="299"/>
      <c r="D233" s="299"/>
      <c r="E233" s="299"/>
      <c r="F233" s="299"/>
      <c r="G233" s="299"/>
      <c r="H233" s="299"/>
      <c r="I233" s="300"/>
      <c r="J233" s="23"/>
    </row>
  </sheetData>
  <mergeCells count="3">
    <mergeCell ref="B1:J6"/>
    <mergeCell ref="J8:J233"/>
    <mergeCell ref="B233:I233"/>
  </mergeCells>
  <dataValidations>
    <dataValidation type="list" allowBlank="1" sqref="I8:I232">
      <formula1>"Cooked Weight,Raw Weight,Dry Weight,As Prepared Weight,Drained Weight,Deshelled Weight,Soaked Weight"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13"/>
    <col customWidth="1" min="2" max="2" width="6.38"/>
    <col customWidth="1" min="3" max="3" width="37.63"/>
    <col customWidth="1" min="4" max="4" width="75.13"/>
    <col customWidth="1" min="5" max="5" width="37.63"/>
    <col customWidth="1" min="6" max="6" width="7.63"/>
  </cols>
  <sheetData>
    <row r="1" ht="18.75" customHeight="1">
      <c r="A1" s="339"/>
      <c r="B1" s="322" t="s">
        <v>631</v>
      </c>
      <c r="C1" s="5"/>
      <c r="D1" s="5"/>
      <c r="E1" s="5"/>
      <c r="F1" s="6"/>
    </row>
    <row r="2" ht="18.75" customHeight="1">
      <c r="A2" s="147"/>
      <c r="B2" s="13"/>
      <c r="F2" s="14"/>
    </row>
    <row r="3" ht="18.75" customHeight="1">
      <c r="A3" s="147"/>
      <c r="B3" s="13"/>
      <c r="F3" s="14"/>
    </row>
    <row r="4" ht="18.75" customHeight="1">
      <c r="A4" s="147"/>
      <c r="B4" s="13"/>
      <c r="F4" s="14"/>
    </row>
    <row r="5" ht="18.75" customHeight="1">
      <c r="A5" s="147"/>
      <c r="B5" s="13"/>
      <c r="F5" s="14"/>
    </row>
    <row r="6" ht="18.75" customHeight="1">
      <c r="A6" s="147"/>
      <c r="B6" s="21"/>
      <c r="C6" s="22"/>
      <c r="D6" s="22"/>
      <c r="E6" s="22"/>
      <c r="F6" s="23"/>
    </row>
    <row r="7" ht="22.5" customHeight="1">
      <c r="A7" s="152"/>
      <c r="B7" s="255" t="s">
        <v>769</v>
      </c>
      <c r="C7" s="255" t="s">
        <v>545</v>
      </c>
      <c r="D7" s="255" t="s">
        <v>770</v>
      </c>
      <c r="E7" s="340" t="s">
        <v>551</v>
      </c>
      <c r="F7" s="323"/>
    </row>
    <row r="8">
      <c r="A8" s="249"/>
      <c r="B8" s="341">
        <v>1.0</v>
      </c>
      <c r="C8" s="271" t="s">
        <v>553</v>
      </c>
      <c r="D8" s="342" t="s">
        <v>771</v>
      </c>
      <c r="E8" s="343" t="s">
        <v>772</v>
      </c>
      <c r="F8" s="327"/>
    </row>
    <row r="9">
      <c r="A9" s="13"/>
      <c r="B9" s="344">
        <v>2.0</v>
      </c>
      <c r="C9" s="345" t="s">
        <v>773</v>
      </c>
      <c r="D9" s="279"/>
      <c r="E9" s="326"/>
      <c r="F9" s="14"/>
    </row>
    <row r="10">
      <c r="A10" s="13"/>
      <c r="B10" s="344">
        <v>3.0</v>
      </c>
      <c r="C10" s="345" t="s">
        <v>774</v>
      </c>
      <c r="D10" s="346"/>
      <c r="E10" s="279"/>
      <c r="F10" s="14"/>
    </row>
    <row r="11">
      <c r="A11" s="13"/>
      <c r="B11" s="344">
        <v>4.0</v>
      </c>
      <c r="C11" s="345" t="s">
        <v>563</v>
      </c>
      <c r="D11" s="346"/>
      <c r="E11" s="279"/>
      <c r="F11" s="14"/>
    </row>
    <row r="12">
      <c r="A12" s="13"/>
      <c r="B12" s="344">
        <v>5.0</v>
      </c>
      <c r="C12" s="345" t="s">
        <v>775</v>
      </c>
      <c r="D12" s="346"/>
      <c r="E12" s="279"/>
      <c r="F12" s="14"/>
    </row>
    <row r="13">
      <c r="A13" s="13"/>
      <c r="B13" s="344">
        <v>6.0</v>
      </c>
      <c r="C13" s="345" t="s">
        <v>776</v>
      </c>
      <c r="D13" s="346"/>
      <c r="E13" s="279"/>
      <c r="F13" s="14"/>
    </row>
    <row r="14">
      <c r="A14" s="13"/>
      <c r="B14" s="344">
        <v>7.0</v>
      </c>
      <c r="C14" s="345" t="s">
        <v>777</v>
      </c>
      <c r="D14" s="346"/>
      <c r="E14" s="279"/>
      <c r="F14" s="14"/>
    </row>
    <row r="15">
      <c r="A15" s="13"/>
      <c r="B15" s="344">
        <v>8.0</v>
      </c>
      <c r="C15" s="345" t="s">
        <v>778</v>
      </c>
      <c r="D15" s="346"/>
      <c r="E15" s="279"/>
      <c r="F15" s="14"/>
    </row>
    <row r="16">
      <c r="A16" s="13"/>
      <c r="B16" s="344">
        <v>9.0</v>
      </c>
      <c r="C16" s="345" t="s">
        <v>568</v>
      </c>
      <c r="D16" s="346"/>
      <c r="E16" s="279"/>
      <c r="F16" s="14"/>
    </row>
    <row r="17">
      <c r="A17" s="13"/>
      <c r="B17" s="344">
        <v>10.0</v>
      </c>
      <c r="C17" s="347" t="s">
        <v>577</v>
      </c>
      <c r="D17" s="346"/>
      <c r="E17" s="279"/>
      <c r="F17" s="14"/>
    </row>
    <row r="18">
      <c r="A18" s="13"/>
      <c r="B18" s="344">
        <v>11.0</v>
      </c>
      <c r="C18" s="345" t="s">
        <v>556</v>
      </c>
      <c r="D18" s="346"/>
      <c r="E18" s="279"/>
      <c r="F18" s="14"/>
    </row>
    <row r="19">
      <c r="A19" s="13"/>
      <c r="B19" s="344">
        <v>12.0</v>
      </c>
      <c r="C19" s="345" t="s">
        <v>554</v>
      </c>
      <c r="D19" s="346"/>
      <c r="E19" s="279"/>
      <c r="F19" s="14"/>
    </row>
    <row r="20">
      <c r="A20" s="13"/>
      <c r="B20" s="344">
        <v>13.0</v>
      </c>
      <c r="C20" s="345" t="s">
        <v>779</v>
      </c>
      <c r="D20" s="346"/>
      <c r="E20" s="279"/>
      <c r="F20" s="14"/>
    </row>
    <row r="21">
      <c r="A21" s="13"/>
      <c r="B21" s="344">
        <v>14.0</v>
      </c>
      <c r="C21" s="345" t="s">
        <v>561</v>
      </c>
      <c r="D21" s="346"/>
      <c r="E21" s="279"/>
      <c r="F21" s="14"/>
    </row>
    <row r="22">
      <c r="A22" s="13"/>
      <c r="B22" s="344">
        <v>15.0</v>
      </c>
      <c r="C22" s="345" t="s">
        <v>780</v>
      </c>
      <c r="D22" s="346"/>
      <c r="E22" s="279"/>
      <c r="F22" s="14"/>
    </row>
    <row r="23">
      <c r="A23" s="13"/>
      <c r="B23" s="344">
        <v>16.0</v>
      </c>
      <c r="C23" s="345" t="s">
        <v>781</v>
      </c>
      <c r="D23" s="346"/>
      <c r="E23" s="279"/>
      <c r="F23" s="14"/>
    </row>
    <row r="24">
      <c r="A24" s="13"/>
      <c r="B24" s="344">
        <v>17.0</v>
      </c>
      <c r="C24" s="345" t="s">
        <v>557</v>
      </c>
      <c r="D24" s="346"/>
      <c r="E24" s="279"/>
      <c r="F24" s="14"/>
    </row>
    <row r="25">
      <c r="A25" s="13"/>
      <c r="B25" s="344">
        <v>18.0</v>
      </c>
      <c r="C25" s="345" t="s">
        <v>782</v>
      </c>
      <c r="D25" s="346"/>
      <c r="E25" s="279"/>
      <c r="F25" s="14"/>
    </row>
    <row r="26">
      <c r="A26" s="13"/>
      <c r="B26" s="344">
        <v>19.0</v>
      </c>
      <c r="C26" s="345" t="s">
        <v>783</v>
      </c>
      <c r="D26" s="346"/>
      <c r="E26" s="279"/>
      <c r="F26" s="14"/>
    </row>
    <row r="27">
      <c r="A27" s="13"/>
      <c r="B27" s="344">
        <v>20.0</v>
      </c>
      <c r="C27" s="345" t="s">
        <v>784</v>
      </c>
      <c r="D27" s="346"/>
      <c r="E27" s="279"/>
      <c r="F27" s="14"/>
    </row>
    <row r="28">
      <c r="A28" s="13"/>
      <c r="B28" s="344">
        <v>21.0</v>
      </c>
      <c r="C28" s="345" t="s">
        <v>785</v>
      </c>
      <c r="D28" s="346"/>
      <c r="E28" s="279"/>
      <c r="F28" s="14"/>
    </row>
    <row r="29">
      <c r="A29" s="13"/>
      <c r="B29" s="344">
        <v>22.0</v>
      </c>
      <c r="C29" s="345" t="s">
        <v>566</v>
      </c>
      <c r="D29" s="346"/>
      <c r="E29" s="279"/>
      <c r="F29" s="14"/>
    </row>
    <row r="30">
      <c r="A30" s="13"/>
      <c r="B30" s="344">
        <v>23.0</v>
      </c>
      <c r="C30" s="345" t="s">
        <v>786</v>
      </c>
      <c r="D30" s="346"/>
      <c r="E30" s="279"/>
      <c r="F30" s="14"/>
    </row>
    <row r="31">
      <c r="A31" s="13"/>
      <c r="B31" s="344">
        <v>24.0</v>
      </c>
      <c r="C31" s="345" t="s">
        <v>565</v>
      </c>
      <c r="D31" s="346"/>
      <c r="E31" s="279"/>
      <c r="F31" s="14"/>
    </row>
    <row r="32">
      <c r="A32" s="13"/>
      <c r="B32" s="344">
        <v>25.0</v>
      </c>
      <c r="C32" s="345" t="s">
        <v>787</v>
      </c>
      <c r="D32" s="346"/>
      <c r="E32" s="279"/>
      <c r="F32" s="14"/>
    </row>
    <row r="33">
      <c r="A33" s="13"/>
      <c r="B33" s="344">
        <v>26.0</v>
      </c>
      <c r="C33" s="345" t="s">
        <v>560</v>
      </c>
      <c r="D33" s="346"/>
      <c r="E33" s="279"/>
      <c r="F33" s="14"/>
    </row>
    <row r="34">
      <c r="A34" s="13"/>
      <c r="B34" s="344">
        <v>27.0</v>
      </c>
      <c r="C34" s="345" t="s">
        <v>788</v>
      </c>
      <c r="D34" s="346"/>
      <c r="E34" s="279"/>
      <c r="F34" s="14"/>
    </row>
    <row r="35">
      <c r="A35" s="13"/>
      <c r="B35" s="344">
        <v>28.0</v>
      </c>
      <c r="C35" s="345" t="s">
        <v>564</v>
      </c>
      <c r="D35" s="346"/>
      <c r="E35" s="279"/>
      <c r="F35" s="14"/>
    </row>
    <row r="36">
      <c r="A36" s="13"/>
      <c r="B36" s="344">
        <v>29.0</v>
      </c>
      <c r="C36" s="345" t="s">
        <v>789</v>
      </c>
      <c r="D36" s="346"/>
      <c r="E36" s="279"/>
      <c r="F36" s="14"/>
    </row>
    <row r="37">
      <c r="A37" s="13"/>
      <c r="B37" s="344">
        <v>30.0</v>
      </c>
      <c r="C37" s="345" t="s">
        <v>790</v>
      </c>
      <c r="D37" s="346"/>
      <c r="E37" s="279"/>
      <c r="F37" s="14"/>
    </row>
    <row r="38">
      <c r="A38" s="13"/>
      <c r="B38" s="344">
        <v>31.0</v>
      </c>
      <c r="C38" s="345" t="s">
        <v>791</v>
      </c>
      <c r="D38" s="346"/>
      <c r="E38" s="279"/>
      <c r="F38" s="14"/>
    </row>
    <row r="39">
      <c r="A39" s="13"/>
      <c r="B39" s="344">
        <v>32.0</v>
      </c>
      <c r="C39" s="345" t="s">
        <v>792</v>
      </c>
      <c r="D39" s="346"/>
      <c r="E39" s="279"/>
      <c r="F39" s="14"/>
    </row>
    <row r="40">
      <c r="A40" s="13"/>
      <c r="B40" s="344">
        <v>33.0</v>
      </c>
      <c r="C40" s="345" t="s">
        <v>793</v>
      </c>
      <c r="D40" s="346"/>
      <c r="E40" s="279"/>
      <c r="F40" s="14"/>
    </row>
    <row r="41">
      <c r="A41" s="13"/>
      <c r="B41" s="344">
        <v>34.0</v>
      </c>
      <c r="C41" s="345" t="s">
        <v>794</v>
      </c>
      <c r="D41" s="346"/>
      <c r="E41" s="279"/>
      <c r="F41" s="14"/>
    </row>
    <row r="42">
      <c r="A42" s="13"/>
      <c r="B42" s="344">
        <v>35.0</v>
      </c>
      <c r="C42" s="345" t="s">
        <v>795</v>
      </c>
      <c r="D42" s="346"/>
      <c r="E42" s="279"/>
      <c r="F42" s="14"/>
    </row>
    <row r="43">
      <c r="A43" s="13"/>
      <c r="B43" s="344">
        <v>36.0</v>
      </c>
      <c r="C43" s="345" t="s">
        <v>796</v>
      </c>
      <c r="D43" s="346"/>
      <c r="E43" s="279"/>
      <c r="F43" s="14"/>
    </row>
    <row r="44">
      <c r="A44" s="13"/>
      <c r="B44" s="344">
        <v>37.0</v>
      </c>
      <c r="C44" s="345" t="s">
        <v>797</v>
      </c>
      <c r="D44" s="346"/>
      <c r="E44" s="279"/>
      <c r="F44" s="14"/>
    </row>
    <row r="45">
      <c r="A45" s="13"/>
      <c r="B45" s="344">
        <v>38.0</v>
      </c>
      <c r="C45" s="345" t="s">
        <v>798</v>
      </c>
      <c r="D45" s="346"/>
      <c r="E45" s="279"/>
      <c r="F45" s="14"/>
    </row>
    <row r="46">
      <c r="A46" s="13"/>
      <c r="B46" s="344">
        <v>39.0</v>
      </c>
      <c r="C46" s="345" t="s">
        <v>562</v>
      </c>
      <c r="D46" s="346"/>
      <c r="E46" s="279"/>
      <c r="F46" s="14"/>
    </row>
    <row r="47">
      <c r="A47" s="13"/>
      <c r="B47" s="344">
        <v>40.0</v>
      </c>
      <c r="C47" s="345" t="s">
        <v>552</v>
      </c>
      <c r="D47" s="346"/>
      <c r="E47" s="279"/>
      <c r="F47" s="14"/>
    </row>
    <row r="48">
      <c r="A48" s="13"/>
      <c r="B48" s="344">
        <v>41.0</v>
      </c>
      <c r="C48" s="345" t="s">
        <v>799</v>
      </c>
      <c r="D48" s="346"/>
      <c r="E48" s="279"/>
      <c r="F48" s="14"/>
    </row>
    <row r="49">
      <c r="A49" s="13"/>
      <c r="B49" s="344">
        <v>42.0</v>
      </c>
      <c r="C49" s="345" t="s">
        <v>800</v>
      </c>
      <c r="D49" s="346"/>
      <c r="E49" s="279"/>
      <c r="F49" s="14"/>
    </row>
    <row r="50">
      <c r="A50" s="13"/>
      <c r="B50" s="344">
        <v>43.0</v>
      </c>
      <c r="C50" s="345" t="s">
        <v>801</v>
      </c>
      <c r="D50" s="346"/>
      <c r="E50" s="279"/>
      <c r="F50" s="14"/>
    </row>
    <row r="51">
      <c r="A51" s="13"/>
      <c r="B51" s="344">
        <v>44.0</v>
      </c>
      <c r="C51" s="345" t="s">
        <v>802</v>
      </c>
      <c r="D51" s="346"/>
      <c r="E51" s="279"/>
      <c r="F51" s="14"/>
    </row>
    <row r="52">
      <c r="A52" s="13"/>
      <c r="B52" s="344">
        <v>45.0</v>
      </c>
      <c r="C52" s="345" t="s">
        <v>803</v>
      </c>
      <c r="D52" s="346"/>
      <c r="E52" s="279"/>
      <c r="F52" s="14"/>
    </row>
    <row r="53">
      <c r="A53" s="13"/>
      <c r="B53" s="344">
        <v>46.0</v>
      </c>
      <c r="C53" s="346" t="s">
        <v>804</v>
      </c>
      <c r="D53" s="346"/>
      <c r="E53" s="279"/>
      <c r="F53" s="14"/>
    </row>
    <row r="54">
      <c r="A54" s="13"/>
      <c r="B54" s="344">
        <v>47.0</v>
      </c>
      <c r="C54" s="346" t="s">
        <v>805</v>
      </c>
      <c r="D54" s="346"/>
      <c r="E54" s="279"/>
      <c r="F54" s="14"/>
    </row>
    <row r="55">
      <c r="A55" s="13"/>
      <c r="B55" s="344">
        <v>48.0</v>
      </c>
      <c r="C55" s="346" t="s">
        <v>806</v>
      </c>
      <c r="D55" s="346"/>
      <c r="E55" s="279"/>
      <c r="F55" s="14"/>
    </row>
    <row r="56">
      <c r="A56" s="13"/>
      <c r="B56" s="344">
        <v>49.0</v>
      </c>
      <c r="C56" s="346" t="s">
        <v>807</v>
      </c>
      <c r="D56" s="346"/>
      <c r="E56" s="279"/>
      <c r="F56" s="14"/>
    </row>
    <row r="57">
      <c r="A57" s="13"/>
      <c r="B57" s="344">
        <v>50.0</v>
      </c>
      <c r="C57" s="346" t="s">
        <v>572</v>
      </c>
      <c r="D57" s="346"/>
      <c r="E57" s="279"/>
      <c r="F57" s="14"/>
    </row>
    <row r="58">
      <c r="A58" s="13"/>
      <c r="B58" s="344">
        <v>51.0</v>
      </c>
      <c r="C58" s="346" t="s">
        <v>571</v>
      </c>
      <c r="D58" s="346"/>
      <c r="E58" s="279"/>
      <c r="F58" s="14"/>
    </row>
    <row r="59">
      <c r="A59" s="13"/>
      <c r="B59" s="344">
        <v>52.0</v>
      </c>
      <c r="C59" s="346" t="s">
        <v>808</v>
      </c>
      <c r="D59" s="346"/>
      <c r="E59" s="279"/>
      <c r="F59" s="14"/>
    </row>
    <row r="60">
      <c r="A60" s="13"/>
      <c r="B60" s="344">
        <v>53.0</v>
      </c>
      <c r="C60" s="346" t="s">
        <v>809</v>
      </c>
      <c r="D60" s="346"/>
      <c r="E60" s="279"/>
      <c r="F60" s="14"/>
    </row>
    <row r="61">
      <c r="A61" s="13"/>
      <c r="B61" s="344">
        <v>54.0</v>
      </c>
      <c r="C61" s="346" t="s">
        <v>575</v>
      </c>
      <c r="D61" s="346"/>
      <c r="E61" s="279"/>
      <c r="F61" s="14"/>
    </row>
    <row r="62">
      <c r="A62" s="13"/>
      <c r="B62" s="344">
        <v>55.0</v>
      </c>
      <c r="C62" s="346" t="s">
        <v>810</v>
      </c>
      <c r="D62" s="346"/>
      <c r="E62" s="279"/>
      <c r="F62" s="14"/>
    </row>
    <row r="63">
      <c r="A63" s="13"/>
      <c r="B63" s="344">
        <v>56.0</v>
      </c>
      <c r="C63" s="346" t="s">
        <v>576</v>
      </c>
      <c r="D63" s="346"/>
      <c r="E63" s="279"/>
      <c r="F63" s="14"/>
    </row>
    <row r="64">
      <c r="A64" s="13"/>
      <c r="B64" s="344">
        <v>57.0</v>
      </c>
      <c r="C64" s="346" t="s">
        <v>558</v>
      </c>
      <c r="D64" s="346"/>
      <c r="E64" s="279"/>
      <c r="F64" s="14"/>
    </row>
    <row r="65">
      <c r="A65" s="13"/>
      <c r="B65" s="344">
        <v>58.0</v>
      </c>
      <c r="C65" s="346" t="s">
        <v>569</v>
      </c>
      <c r="D65" s="346"/>
      <c r="E65" s="279"/>
      <c r="F65" s="14"/>
    </row>
    <row r="66">
      <c r="A66" s="13"/>
      <c r="B66" s="344">
        <v>59.0</v>
      </c>
      <c r="C66" s="346" t="s">
        <v>570</v>
      </c>
      <c r="D66" s="346"/>
      <c r="E66" s="279"/>
      <c r="F66" s="14"/>
    </row>
    <row r="67">
      <c r="A67" s="13"/>
      <c r="B67" s="344">
        <v>60.0</v>
      </c>
      <c r="C67" s="346" t="s">
        <v>575</v>
      </c>
      <c r="D67" s="346"/>
      <c r="E67" s="279"/>
      <c r="F67" s="14"/>
    </row>
    <row r="68">
      <c r="A68" s="13"/>
      <c r="B68" s="344">
        <v>61.0</v>
      </c>
      <c r="C68" s="346" t="s">
        <v>811</v>
      </c>
      <c r="D68" s="346"/>
      <c r="E68" s="279"/>
      <c r="F68" s="14"/>
    </row>
    <row r="69">
      <c r="A69" s="13"/>
      <c r="B69" s="344">
        <v>62.0</v>
      </c>
      <c r="C69" s="346" t="s">
        <v>578</v>
      </c>
      <c r="D69" s="346"/>
      <c r="E69" s="279"/>
      <c r="F69" s="14"/>
    </row>
    <row r="70">
      <c r="A70" s="13"/>
      <c r="B70" s="344">
        <v>63.0</v>
      </c>
      <c r="C70" s="346"/>
      <c r="D70" s="346"/>
      <c r="E70" s="279"/>
      <c r="F70" s="14"/>
    </row>
    <row r="71">
      <c r="A71" s="13"/>
      <c r="B71" s="344">
        <v>64.0</v>
      </c>
      <c r="C71" s="346"/>
      <c r="D71" s="346"/>
      <c r="E71" s="348"/>
      <c r="F71" s="14"/>
    </row>
    <row r="72">
      <c r="A72" s="13"/>
      <c r="B72" s="344">
        <v>65.0</v>
      </c>
      <c r="C72" s="346"/>
      <c r="D72" s="346"/>
      <c r="E72" s="279"/>
      <c r="F72" s="14"/>
    </row>
    <row r="73">
      <c r="A73" s="13"/>
      <c r="B73" s="344">
        <v>66.0</v>
      </c>
      <c r="C73" s="346"/>
      <c r="D73" s="346"/>
      <c r="E73" s="279"/>
      <c r="F73" s="14"/>
    </row>
    <row r="74">
      <c r="A74" s="13"/>
      <c r="B74" s="344">
        <v>67.0</v>
      </c>
      <c r="C74" s="346"/>
      <c r="D74" s="346"/>
      <c r="E74" s="279"/>
      <c r="F74" s="14"/>
    </row>
    <row r="75">
      <c r="A75" s="13"/>
      <c r="B75" s="344">
        <v>68.0</v>
      </c>
      <c r="C75" s="346"/>
      <c r="D75" s="346"/>
      <c r="E75" s="279"/>
      <c r="F75" s="14"/>
    </row>
    <row r="76">
      <c r="A76" s="13"/>
      <c r="B76" s="344">
        <v>69.0</v>
      </c>
      <c r="C76" s="346"/>
      <c r="D76" s="346"/>
      <c r="E76" s="279"/>
      <c r="F76" s="14"/>
    </row>
    <row r="77">
      <c r="A77" s="13"/>
      <c r="B77" s="344">
        <v>70.0</v>
      </c>
      <c r="C77" s="346"/>
      <c r="D77" s="346"/>
      <c r="E77" s="279"/>
      <c r="F77" s="14"/>
    </row>
    <row r="78">
      <c r="A78" s="13"/>
      <c r="B78" s="344">
        <v>71.0</v>
      </c>
      <c r="C78" s="346"/>
      <c r="D78" s="346"/>
      <c r="E78" s="279"/>
      <c r="F78" s="14"/>
    </row>
    <row r="79">
      <c r="A79" s="13"/>
      <c r="B79" s="344">
        <v>72.0</v>
      </c>
      <c r="C79" s="346"/>
      <c r="D79" s="346"/>
      <c r="E79" s="279"/>
      <c r="F79" s="14"/>
    </row>
    <row r="80">
      <c r="A80" s="13"/>
      <c r="B80" s="344">
        <v>73.0</v>
      </c>
      <c r="C80" s="346"/>
      <c r="D80" s="346"/>
      <c r="E80" s="279"/>
      <c r="F80" s="14"/>
    </row>
    <row r="81">
      <c r="A81" s="13"/>
      <c r="B81" s="344">
        <v>74.0</v>
      </c>
      <c r="C81" s="346"/>
      <c r="D81" s="346"/>
      <c r="E81" s="279"/>
      <c r="F81" s="14"/>
    </row>
    <row r="82">
      <c r="A82" s="13"/>
      <c r="B82" s="344">
        <v>75.0</v>
      </c>
      <c r="C82" s="346"/>
      <c r="D82" s="346"/>
      <c r="E82" s="279"/>
      <c r="F82" s="14"/>
    </row>
    <row r="83">
      <c r="A83" s="13"/>
      <c r="B83" s="344">
        <v>76.0</v>
      </c>
      <c r="C83" s="346"/>
      <c r="D83" s="346"/>
      <c r="E83" s="279"/>
      <c r="F83" s="14"/>
    </row>
    <row r="84">
      <c r="A84" s="13"/>
      <c r="B84" s="344">
        <v>77.0</v>
      </c>
      <c r="C84" s="346"/>
      <c r="D84" s="346"/>
      <c r="E84" s="279"/>
      <c r="F84" s="14"/>
    </row>
    <row r="85">
      <c r="A85" s="13"/>
      <c r="B85" s="344">
        <v>78.0</v>
      </c>
      <c r="C85" s="346"/>
      <c r="D85" s="346"/>
      <c r="E85" s="279"/>
      <c r="F85" s="14"/>
    </row>
    <row r="86">
      <c r="A86" s="13"/>
      <c r="B86" s="344">
        <v>79.0</v>
      </c>
      <c r="C86" s="346"/>
      <c r="D86" s="346"/>
      <c r="E86" s="279"/>
      <c r="F86" s="14"/>
    </row>
    <row r="87">
      <c r="A87" s="13"/>
      <c r="B87" s="344">
        <v>80.0</v>
      </c>
      <c r="C87" s="346"/>
      <c r="D87" s="346"/>
      <c r="E87" s="279"/>
      <c r="F87" s="14"/>
    </row>
    <row r="88">
      <c r="A88" s="13"/>
      <c r="B88" s="344">
        <v>81.0</v>
      </c>
      <c r="C88" s="346"/>
      <c r="D88" s="346"/>
      <c r="E88" s="279"/>
      <c r="F88" s="14"/>
    </row>
    <row r="89">
      <c r="A89" s="13"/>
      <c r="B89" s="344">
        <v>82.0</v>
      </c>
      <c r="C89" s="346"/>
      <c r="D89" s="346"/>
      <c r="E89" s="279"/>
      <c r="F89" s="14"/>
    </row>
    <row r="90">
      <c r="A90" s="13"/>
      <c r="B90" s="344">
        <v>83.0</v>
      </c>
      <c r="C90" s="346"/>
      <c r="D90" s="346"/>
      <c r="E90" s="279"/>
      <c r="F90" s="14"/>
    </row>
    <row r="91">
      <c r="A91" s="13"/>
      <c r="B91" s="344">
        <v>84.0</v>
      </c>
      <c r="C91" s="346"/>
      <c r="D91" s="346"/>
      <c r="E91" s="279"/>
      <c r="F91" s="14"/>
    </row>
    <row r="92">
      <c r="A92" s="13"/>
      <c r="B92" s="344">
        <v>85.0</v>
      </c>
      <c r="C92" s="346"/>
      <c r="D92" s="346"/>
      <c r="E92" s="279"/>
      <c r="F92" s="14"/>
    </row>
    <row r="93">
      <c r="A93" s="13"/>
      <c r="B93" s="344">
        <v>86.0</v>
      </c>
      <c r="C93" s="346"/>
      <c r="D93" s="346"/>
      <c r="E93" s="279"/>
      <c r="F93" s="14"/>
    </row>
    <row r="94">
      <c r="A94" s="13"/>
      <c r="B94" s="344">
        <v>87.0</v>
      </c>
      <c r="C94" s="346"/>
      <c r="D94" s="346"/>
      <c r="E94" s="279"/>
      <c r="F94" s="14"/>
    </row>
    <row r="95">
      <c r="A95" s="13"/>
      <c r="B95" s="344">
        <v>88.0</v>
      </c>
      <c r="C95" s="346"/>
      <c r="D95" s="346"/>
      <c r="E95" s="279"/>
      <c r="F95" s="14"/>
    </row>
    <row r="96">
      <c r="A96" s="13"/>
      <c r="B96" s="344">
        <v>89.0</v>
      </c>
      <c r="C96" s="346"/>
      <c r="D96" s="346"/>
      <c r="E96" s="279"/>
      <c r="F96" s="14"/>
    </row>
    <row r="97">
      <c r="A97" s="13"/>
      <c r="B97" s="344">
        <v>90.0</v>
      </c>
      <c r="C97" s="346"/>
      <c r="D97" s="346"/>
      <c r="E97" s="279"/>
      <c r="F97" s="14"/>
    </row>
    <row r="98">
      <c r="A98" s="13"/>
      <c r="B98" s="344">
        <v>91.0</v>
      </c>
      <c r="C98" s="346"/>
      <c r="D98" s="346"/>
      <c r="E98" s="279"/>
      <c r="F98" s="14"/>
    </row>
    <row r="99">
      <c r="A99" s="13"/>
      <c r="B99" s="344">
        <v>92.0</v>
      </c>
      <c r="C99" s="346"/>
      <c r="D99" s="346"/>
      <c r="E99" s="279"/>
      <c r="F99" s="14"/>
    </row>
    <row r="100">
      <c r="A100" s="13"/>
      <c r="B100" s="344">
        <v>93.0</v>
      </c>
      <c r="C100" s="346"/>
      <c r="D100" s="346"/>
      <c r="E100" s="279"/>
      <c r="F100" s="14"/>
    </row>
    <row r="101">
      <c r="A101" s="13"/>
      <c r="B101" s="344">
        <v>94.0</v>
      </c>
      <c r="C101" s="346"/>
      <c r="D101" s="346"/>
      <c r="E101" s="279"/>
      <c r="F101" s="14"/>
    </row>
    <row r="102">
      <c r="A102" s="13"/>
      <c r="B102" s="344">
        <v>95.0</v>
      </c>
      <c r="C102" s="346"/>
      <c r="D102" s="346"/>
      <c r="E102" s="279"/>
      <c r="F102" s="14"/>
    </row>
    <row r="103">
      <c r="A103" s="13"/>
      <c r="B103" s="344">
        <v>96.0</v>
      </c>
      <c r="C103" s="346"/>
      <c r="D103" s="346"/>
      <c r="E103" s="279"/>
      <c r="F103" s="14"/>
    </row>
    <row r="104">
      <c r="A104" s="13"/>
      <c r="B104" s="344">
        <v>97.0</v>
      </c>
      <c r="C104" s="346"/>
      <c r="D104" s="346"/>
      <c r="E104" s="279"/>
      <c r="F104" s="14"/>
    </row>
    <row r="105">
      <c r="A105" s="13"/>
      <c r="B105" s="344">
        <v>98.0</v>
      </c>
      <c r="C105" s="346"/>
      <c r="D105" s="346"/>
      <c r="E105" s="279"/>
      <c r="F105" s="14"/>
    </row>
    <row r="106">
      <c r="A106" s="13"/>
      <c r="B106" s="344">
        <v>99.0</v>
      </c>
      <c r="C106" s="346"/>
      <c r="D106" s="346"/>
      <c r="E106" s="279"/>
      <c r="F106" s="14"/>
    </row>
    <row r="107">
      <c r="A107" s="13"/>
      <c r="B107" s="344">
        <v>100.0</v>
      </c>
      <c r="C107" s="346"/>
      <c r="D107" s="346"/>
      <c r="E107" s="279"/>
      <c r="F107" s="14"/>
    </row>
    <row r="108">
      <c r="A108" s="13"/>
      <c r="B108" s="344">
        <v>101.0</v>
      </c>
      <c r="C108" s="346"/>
      <c r="D108" s="346"/>
      <c r="E108" s="279"/>
      <c r="F108" s="14"/>
    </row>
    <row r="109">
      <c r="A109" s="13"/>
      <c r="B109" s="344">
        <v>102.0</v>
      </c>
      <c r="C109" s="346"/>
      <c r="D109" s="346"/>
      <c r="E109" s="279"/>
      <c r="F109" s="14"/>
    </row>
    <row r="110">
      <c r="A110" s="13"/>
      <c r="B110" s="344">
        <v>103.0</v>
      </c>
      <c r="C110" s="346"/>
      <c r="D110" s="346"/>
      <c r="E110" s="279"/>
      <c r="F110" s="14"/>
    </row>
    <row r="111">
      <c r="A111" s="13"/>
      <c r="B111" s="344">
        <v>104.0</v>
      </c>
      <c r="C111" s="346"/>
      <c r="D111" s="346"/>
      <c r="E111" s="279"/>
      <c r="F111" s="14"/>
    </row>
    <row r="112">
      <c r="A112" s="13"/>
      <c r="B112" s="344">
        <v>105.0</v>
      </c>
      <c r="C112" s="346"/>
      <c r="D112" s="346"/>
      <c r="E112" s="279"/>
      <c r="F112" s="14"/>
    </row>
    <row r="113">
      <c r="A113" s="13"/>
      <c r="B113" s="344">
        <v>106.0</v>
      </c>
      <c r="C113" s="346"/>
      <c r="D113" s="346"/>
      <c r="E113" s="279"/>
      <c r="F113" s="14"/>
    </row>
    <row r="114">
      <c r="A114" s="13"/>
      <c r="B114" s="344">
        <v>108.0</v>
      </c>
      <c r="C114" s="346"/>
      <c r="D114" s="346"/>
      <c r="E114" s="279"/>
      <c r="F114" s="14"/>
    </row>
    <row r="115">
      <c r="A115" s="13"/>
      <c r="B115" s="344">
        <v>109.0</v>
      </c>
      <c r="C115" s="346"/>
      <c r="D115" s="346"/>
      <c r="E115" s="279"/>
      <c r="F115" s="14"/>
    </row>
    <row r="116">
      <c r="A116" s="13"/>
      <c r="B116" s="344">
        <v>110.0</v>
      </c>
      <c r="C116" s="346"/>
      <c r="D116" s="346"/>
      <c r="E116" s="279"/>
      <c r="F116" s="14"/>
    </row>
    <row r="117">
      <c r="A117" s="13"/>
      <c r="B117" s="344">
        <v>111.0</v>
      </c>
      <c r="C117" s="346"/>
      <c r="D117" s="346"/>
      <c r="E117" s="279"/>
      <c r="F117" s="14"/>
    </row>
    <row r="118">
      <c r="A118" s="13"/>
      <c r="B118" s="344">
        <v>112.0</v>
      </c>
      <c r="C118" s="346"/>
      <c r="D118" s="346"/>
      <c r="E118" s="279"/>
      <c r="F118" s="14"/>
    </row>
    <row r="119">
      <c r="A119" s="13"/>
      <c r="B119" s="344">
        <v>113.0</v>
      </c>
      <c r="C119" s="346"/>
      <c r="D119" s="346"/>
      <c r="E119" s="279"/>
      <c r="F119" s="14"/>
    </row>
    <row r="120">
      <c r="A120" s="13"/>
      <c r="B120" s="344">
        <v>114.0</v>
      </c>
      <c r="C120" s="346"/>
      <c r="D120" s="346"/>
      <c r="E120" s="279"/>
      <c r="F120" s="14"/>
    </row>
    <row r="121">
      <c r="A121" s="13"/>
      <c r="B121" s="344">
        <v>115.0</v>
      </c>
      <c r="C121" s="346"/>
      <c r="D121" s="346"/>
      <c r="E121" s="279"/>
      <c r="F121" s="14"/>
    </row>
    <row r="122">
      <c r="A122" s="13"/>
      <c r="B122" s="344">
        <v>116.0</v>
      </c>
      <c r="C122" s="346"/>
      <c r="D122" s="346"/>
      <c r="E122" s="279"/>
      <c r="F122" s="14"/>
    </row>
    <row r="123">
      <c r="A123" s="13"/>
      <c r="B123" s="344">
        <v>117.0</v>
      </c>
      <c r="C123" s="346"/>
      <c r="D123" s="346"/>
      <c r="E123" s="279"/>
      <c r="F123" s="14"/>
    </row>
    <row r="124">
      <c r="A124" s="13"/>
      <c r="B124" s="344">
        <v>118.0</v>
      </c>
      <c r="C124" s="346"/>
      <c r="D124" s="346"/>
      <c r="E124" s="279"/>
      <c r="F124" s="14"/>
    </row>
    <row r="125">
      <c r="A125" s="13"/>
      <c r="B125" s="344">
        <v>119.0</v>
      </c>
      <c r="C125" s="346"/>
      <c r="D125" s="346"/>
      <c r="E125" s="279"/>
      <c r="F125" s="14"/>
    </row>
    <row r="126">
      <c r="A126" s="13"/>
      <c r="B126" s="344">
        <v>120.0</v>
      </c>
      <c r="C126" s="346"/>
      <c r="D126" s="346"/>
      <c r="E126" s="279"/>
      <c r="F126" s="14"/>
    </row>
    <row r="127">
      <c r="A127" s="13"/>
      <c r="B127" s="344">
        <v>121.0</v>
      </c>
      <c r="C127" s="346"/>
      <c r="D127" s="346"/>
      <c r="E127" s="279"/>
      <c r="F127" s="14"/>
    </row>
    <row r="128">
      <c r="A128" s="13"/>
      <c r="B128" s="344">
        <v>122.0</v>
      </c>
      <c r="C128" s="346"/>
      <c r="D128" s="346"/>
      <c r="E128" s="279"/>
      <c r="F128" s="14"/>
    </row>
    <row r="129">
      <c r="A129" s="13"/>
      <c r="B129" s="344">
        <v>123.0</v>
      </c>
      <c r="C129" s="346"/>
      <c r="D129" s="346"/>
      <c r="E129" s="279"/>
      <c r="F129" s="14"/>
    </row>
    <row r="130">
      <c r="A130" s="13"/>
      <c r="B130" s="344">
        <v>124.0</v>
      </c>
      <c r="C130" s="346"/>
      <c r="D130" s="346"/>
      <c r="E130" s="279"/>
      <c r="F130" s="14"/>
    </row>
    <row r="131">
      <c r="A131" s="13"/>
      <c r="B131" s="344">
        <v>125.0</v>
      </c>
      <c r="C131" s="346"/>
      <c r="D131" s="346"/>
      <c r="E131" s="279"/>
      <c r="F131" s="14"/>
    </row>
    <row r="132">
      <c r="A132" s="13"/>
      <c r="B132" s="344">
        <v>126.0</v>
      </c>
      <c r="C132" s="346"/>
      <c r="D132" s="346"/>
      <c r="E132" s="279"/>
      <c r="F132" s="14"/>
    </row>
    <row r="133">
      <c r="A133" s="13"/>
      <c r="B133" s="344">
        <v>127.0</v>
      </c>
      <c r="C133" s="346"/>
      <c r="D133" s="346"/>
      <c r="E133" s="279"/>
      <c r="F133" s="14"/>
    </row>
    <row r="134">
      <c r="A134" s="13"/>
      <c r="B134" s="344">
        <v>128.0</v>
      </c>
      <c r="C134" s="346"/>
      <c r="D134" s="346"/>
      <c r="E134" s="279"/>
      <c r="F134" s="14"/>
    </row>
    <row r="135">
      <c r="A135" s="13"/>
      <c r="B135" s="344">
        <v>129.0</v>
      </c>
      <c r="C135" s="346"/>
      <c r="D135" s="346"/>
      <c r="E135" s="279"/>
      <c r="F135" s="14"/>
    </row>
    <row r="136">
      <c r="A136" s="13"/>
      <c r="B136" s="344">
        <v>130.0</v>
      </c>
      <c r="C136" s="346"/>
      <c r="D136" s="346"/>
      <c r="E136" s="279"/>
      <c r="F136" s="14"/>
    </row>
    <row r="137">
      <c r="A137" s="13"/>
      <c r="B137" s="344">
        <v>131.0</v>
      </c>
      <c r="C137" s="346"/>
      <c r="D137" s="346"/>
      <c r="E137" s="279"/>
      <c r="F137" s="14"/>
    </row>
    <row r="138">
      <c r="A138" s="13"/>
      <c r="B138" s="344">
        <v>132.0</v>
      </c>
      <c r="C138" s="346"/>
      <c r="D138" s="346"/>
      <c r="E138" s="279"/>
      <c r="F138" s="14"/>
    </row>
    <row r="139">
      <c r="A139" s="13"/>
      <c r="B139" s="344">
        <v>133.0</v>
      </c>
      <c r="C139" s="346"/>
      <c r="D139" s="346"/>
      <c r="E139" s="279"/>
      <c r="F139" s="14"/>
    </row>
    <row r="140">
      <c r="A140" s="13"/>
      <c r="B140" s="344">
        <v>134.0</v>
      </c>
      <c r="C140" s="346"/>
      <c r="D140" s="346"/>
      <c r="E140" s="279"/>
      <c r="F140" s="14"/>
    </row>
    <row r="141">
      <c r="A141" s="13"/>
      <c r="B141" s="344">
        <v>135.0</v>
      </c>
      <c r="C141" s="346"/>
      <c r="D141" s="346"/>
      <c r="E141" s="279"/>
      <c r="F141" s="14"/>
    </row>
    <row r="142">
      <c r="A142" s="13"/>
      <c r="B142" s="344">
        <v>136.0</v>
      </c>
      <c r="C142" s="346"/>
      <c r="D142" s="346"/>
      <c r="E142" s="279"/>
      <c r="F142" s="14"/>
    </row>
    <row r="143">
      <c r="A143" s="13"/>
      <c r="B143" s="344">
        <v>137.0</v>
      </c>
      <c r="C143" s="346"/>
      <c r="D143" s="346"/>
      <c r="E143" s="279"/>
      <c r="F143" s="14"/>
    </row>
    <row r="144">
      <c r="A144" s="13"/>
      <c r="B144" s="344">
        <v>138.0</v>
      </c>
      <c r="C144" s="346"/>
      <c r="D144" s="346"/>
      <c r="E144" s="279"/>
      <c r="F144" s="14"/>
    </row>
    <row r="145">
      <c r="A145" s="13"/>
      <c r="B145" s="344">
        <v>139.0</v>
      </c>
      <c r="C145" s="346"/>
      <c r="D145" s="346"/>
      <c r="E145" s="279"/>
      <c r="F145" s="14"/>
    </row>
    <row r="146">
      <c r="A146" s="13"/>
      <c r="B146" s="344">
        <v>140.0</v>
      </c>
      <c r="C146" s="346"/>
      <c r="D146" s="346"/>
      <c r="E146" s="279"/>
      <c r="F146" s="14"/>
    </row>
    <row r="147">
      <c r="A147" s="13"/>
      <c r="B147" s="344">
        <v>141.0</v>
      </c>
      <c r="C147" s="346"/>
      <c r="D147" s="346"/>
      <c r="E147" s="279"/>
      <c r="F147" s="14"/>
    </row>
    <row r="148">
      <c r="A148" s="13"/>
      <c r="B148" s="344">
        <v>142.0</v>
      </c>
      <c r="C148" s="346"/>
      <c r="D148" s="346"/>
      <c r="E148" s="279"/>
      <c r="F148" s="14"/>
    </row>
    <row r="149">
      <c r="A149" s="13"/>
      <c r="B149" s="344">
        <v>143.0</v>
      </c>
      <c r="C149" s="346"/>
      <c r="D149" s="346"/>
      <c r="E149" s="279"/>
      <c r="F149" s="14"/>
    </row>
    <row r="150">
      <c r="A150" s="13"/>
      <c r="B150" s="344">
        <v>144.0</v>
      </c>
      <c r="C150" s="346"/>
      <c r="D150" s="346"/>
      <c r="E150" s="279"/>
      <c r="F150" s="14"/>
    </row>
    <row r="151">
      <c r="A151" s="13"/>
      <c r="B151" s="344">
        <v>145.0</v>
      </c>
      <c r="C151" s="346"/>
      <c r="D151" s="346"/>
      <c r="E151" s="279"/>
      <c r="F151" s="14"/>
    </row>
    <row r="152">
      <c r="A152" s="13"/>
      <c r="B152" s="344">
        <v>146.0</v>
      </c>
      <c r="C152" s="346"/>
      <c r="D152" s="346"/>
      <c r="E152" s="279"/>
      <c r="F152" s="14"/>
    </row>
    <row r="153">
      <c r="A153" s="13"/>
      <c r="B153" s="344">
        <v>147.0</v>
      </c>
      <c r="C153" s="346"/>
      <c r="D153" s="346"/>
      <c r="E153" s="279"/>
      <c r="F153" s="14"/>
    </row>
    <row r="154">
      <c r="A154" s="13"/>
      <c r="B154" s="344">
        <v>148.0</v>
      </c>
      <c r="C154" s="346"/>
      <c r="D154" s="346"/>
      <c r="E154" s="279"/>
      <c r="F154" s="14"/>
    </row>
    <row r="155">
      <c r="A155" s="13"/>
      <c r="B155" s="344">
        <v>149.0</v>
      </c>
      <c r="C155" s="346"/>
      <c r="D155" s="346"/>
      <c r="E155" s="279"/>
      <c r="F155" s="14"/>
    </row>
    <row r="156">
      <c r="A156" s="13"/>
      <c r="B156" s="344">
        <v>150.0</v>
      </c>
      <c r="C156" s="346"/>
      <c r="D156" s="346"/>
      <c r="E156" s="279"/>
      <c r="F156" s="14"/>
    </row>
    <row r="157">
      <c r="A157" s="13"/>
      <c r="B157" s="344">
        <v>151.0</v>
      </c>
      <c r="C157" s="346"/>
      <c r="D157" s="346"/>
      <c r="E157" s="279"/>
      <c r="F157" s="14"/>
    </row>
    <row r="158">
      <c r="A158" s="13"/>
      <c r="B158" s="344">
        <v>152.0</v>
      </c>
      <c r="C158" s="346"/>
      <c r="D158" s="346"/>
      <c r="E158" s="279"/>
      <c r="F158" s="14"/>
    </row>
    <row r="159">
      <c r="A159" s="13"/>
      <c r="B159" s="344">
        <v>153.0</v>
      </c>
      <c r="C159" s="346"/>
      <c r="D159" s="346"/>
      <c r="E159" s="279"/>
      <c r="F159" s="14"/>
    </row>
    <row r="160">
      <c r="A160" s="13"/>
      <c r="B160" s="344">
        <v>154.0</v>
      </c>
      <c r="C160" s="346"/>
      <c r="D160" s="346"/>
      <c r="E160" s="279"/>
      <c r="F160" s="14"/>
    </row>
    <row r="161">
      <c r="A161" s="13"/>
      <c r="B161" s="344">
        <v>155.0</v>
      </c>
      <c r="C161" s="346"/>
      <c r="D161" s="346"/>
      <c r="E161" s="279"/>
      <c r="F161" s="14"/>
    </row>
    <row r="162">
      <c r="A162" s="13"/>
      <c r="B162" s="344">
        <v>156.0</v>
      </c>
      <c r="C162" s="346"/>
      <c r="D162" s="346"/>
      <c r="E162" s="279"/>
      <c r="F162" s="14"/>
    </row>
    <row r="163">
      <c r="A163" s="13"/>
      <c r="B163" s="344">
        <v>157.0</v>
      </c>
      <c r="C163" s="346"/>
      <c r="D163" s="346"/>
      <c r="E163" s="279"/>
      <c r="F163" s="14"/>
    </row>
    <row r="164">
      <c r="A164" s="13"/>
      <c r="B164" s="344">
        <v>158.0</v>
      </c>
      <c r="C164" s="346"/>
      <c r="D164" s="346"/>
      <c r="E164" s="279"/>
      <c r="F164" s="14"/>
    </row>
    <row r="165">
      <c r="A165" s="13"/>
      <c r="B165" s="344">
        <v>159.0</v>
      </c>
      <c r="C165" s="346"/>
      <c r="D165" s="346"/>
      <c r="E165" s="279"/>
      <c r="F165" s="14"/>
    </row>
    <row r="166">
      <c r="A166" s="13"/>
      <c r="B166" s="344">
        <v>160.0</v>
      </c>
      <c r="C166" s="346"/>
      <c r="D166" s="346"/>
      <c r="E166" s="279"/>
      <c r="F166" s="14"/>
    </row>
    <row r="167">
      <c r="A167" s="13"/>
      <c r="B167" s="344">
        <v>161.0</v>
      </c>
      <c r="C167" s="346"/>
      <c r="D167" s="346"/>
      <c r="E167" s="279"/>
      <c r="F167" s="14"/>
    </row>
    <row r="168">
      <c r="A168" s="13"/>
      <c r="B168" s="344">
        <v>162.0</v>
      </c>
      <c r="C168" s="346"/>
      <c r="D168" s="346"/>
      <c r="E168" s="279"/>
      <c r="F168" s="14"/>
    </row>
    <row r="169">
      <c r="A169" s="13"/>
      <c r="B169" s="344">
        <v>163.0</v>
      </c>
      <c r="C169" s="346"/>
      <c r="D169" s="346"/>
      <c r="E169" s="279"/>
      <c r="F169" s="14"/>
    </row>
    <row r="170">
      <c r="A170" s="13"/>
      <c r="B170" s="344">
        <v>164.0</v>
      </c>
      <c r="C170" s="346"/>
      <c r="D170" s="346"/>
      <c r="E170" s="279"/>
      <c r="F170" s="14"/>
    </row>
    <row r="171">
      <c r="A171" s="13"/>
      <c r="B171" s="344">
        <v>165.0</v>
      </c>
      <c r="C171" s="346"/>
      <c r="D171" s="346"/>
      <c r="E171" s="279"/>
      <c r="F171" s="14"/>
    </row>
    <row r="172">
      <c r="A172" s="13"/>
      <c r="B172" s="344">
        <v>166.0</v>
      </c>
      <c r="C172" s="346"/>
      <c r="D172" s="346"/>
      <c r="E172" s="279"/>
      <c r="F172" s="14"/>
    </row>
    <row r="173">
      <c r="A173" s="13"/>
      <c r="B173" s="344">
        <v>167.0</v>
      </c>
      <c r="C173" s="346"/>
      <c r="D173" s="346"/>
      <c r="E173" s="279"/>
      <c r="F173" s="14"/>
    </row>
    <row r="174">
      <c r="A174" s="13"/>
      <c r="B174" s="344">
        <v>168.0</v>
      </c>
      <c r="C174" s="346"/>
      <c r="D174" s="346"/>
      <c r="E174" s="279"/>
      <c r="F174" s="14"/>
    </row>
    <row r="175">
      <c r="A175" s="13"/>
      <c r="B175" s="344">
        <v>169.0</v>
      </c>
      <c r="C175" s="346"/>
      <c r="D175" s="346"/>
      <c r="E175" s="279"/>
      <c r="F175" s="14"/>
    </row>
    <row r="176">
      <c r="A176" s="13"/>
      <c r="B176" s="344">
        <v>170.0</v>
      </c>
      <c r="C176" s="346"/>
      <c r="D176" s="346"/>
      <c r="E176" s="279"/>
      <c r="F176" s="14"/>
    </row>
    <row r="177">
      <c r="A177" s="13"/>
      <c r="B177" s="344">
        <v>171.0</v>
      </c>
      <c r="C177" s="346"/>
      <c r="D177" s="346"/>
      <c r="E177" s="279"/>
      <c r="F177" s="14"/>
    </row>
    <row r="178">
      <c r="A178" s="13"/>
      <c r="B178" s="344">
        <v>172.0</v>
      </c>
      <c r="C178" s="346"/>
      <c r="D178" s="346"/>
      <c r="E178" s="279"/>
      <c r="F178" s="14"/>
    </row>
    <row r="179">
      <c r="A179" s="13"/>
      <c r="B179" s="344">
        <v>173.0</v>
      </c>
      <c r="C179" s="346"/>
      <c r="D179" s="346"/>
      <c r="E179" s="279"/>
      <c r="F179" s="14"/>
    </row>
    <row r="180">
      <c r="A180" s="13"/>
      <c r="B180" s="344">
        <v>174.0</v>
      </c>
      <c r="C180" s="346"/>
      <c r="D180" s="346"/>
      <c r="E180" s="279"/>
      <c r="F180" s="14"/>
    </row>
    <row r="181">
      <c r="A181" s="13"/>
      <c r="B181" s="344">
        <v>175.0</v>
      </c>
      <c r="C181" s="346"/>
      <c r="D181" s="346"/>
      <c r="E181" s="279"/>
      <c r="F181" s="14"/>
    </row>
    <row r="182">
      <c r="A182" s="13"/>
      <c r="B182" s="344">
        <v>176.0</v>
      </c>
      <c r="C182" s="346"/>
      <c r="D182" s="346"/>
      <c r="E182" s="279"/>
      <c r="F182" s="14"/>
    </row>
    <row r="183">
      <c r="A183" s="13"/>
      <c r="B183" s="344">
        <v>177.0</v>
      </c>
      <c r="C183" s="346"/>
      <c r="D183" s="346"/>
      <c r="E183" s="279"/>
      <c r="F183" s="14"/>
    </row>
    <row r="184">
      <c r="A184" s="13"/>
      <c r="B184" s="344">
        <v>178.0</v>
      </c>
      <c r="C184" s="346"/>
      <c r="D184" s="346"/>
      <c r="E184" s="279"/>
      <c r="F184" s="14"/>
    </row>
    <row r="185">
      <c r="A185" s="13"/>
      <c r="B185" s="344">
        <v>179.0</v>
      </c>
      <c r="C185" s="346"/>
      <c r="D185" s="346"/>
      <c r="E185" s="279"/>
      <c r="F185" s="14"/>
    </row>
    <row r="186">
      <c r="A186" s="13"/>
      <c r="B186" s="344">
        <v>180.0</v>
      </c>
      <c r="C186" s="346"/>
      <c r="D186" s="346"/>
      <c r="E186" s="279"/>
      <c r="F186" s="14"/>
    </row>
    <row r="187">
      <c r="A187" s="13"/>
      <c r="B187" s="344">
        <v>181.0</v>
      </c>
      <c r="C187" s="346"/>
      <c r="D187" s="346"/>
      <c r="E187" s="279"/>
      <c r="F187" s="14"/>
    </row>
    <row r="188">
      <c r="A188" s="13"/>
      <c r="B188" s="344">
        <v>182.0</v>
      </c>
      <c r="C188" s="346"/>
      <c r="D188" s="346"/>
      <c r="E188" s="279"/>
      <c r="F188" s="14"/>
    </row>
    <row r="189">
      <c r="A189" s="13"/>
      <c r="B189" s="344">
        <v>183.0</v>
      </c>
      <c r="C189" s="346"/>
      <c r="D189" s="346"/>
      <c r="E189" s="279"/>
      <c r="F189" s="14"/>
    </row>
    <row r="190">
      <c r="A190" s="13"/>
      <c r="B190" s="344">
        <v>184.0</v>
      </c>
      <c r="C190" s="346"/>
      <c r="D190" s="346"/>
      <c r="E190" s="279"/>
      <c r="F190" s="14"/>
    </row>
    <row r="191">
      <c r="A191" s="13"/>
      <c r="B191" s="344">
        <v>185.0</v>
      </c>
      <c r="C191" s="346"/>
      <c r="D191" s="346"/>
      <c r="E191" s="279"/>
      <c r="F191" s="14"/>
    </row>
    <row r="192">
      <c r="A192" s="13"/>
      <c r="B192" s="344">
        <v>186.0</v>
      </c>
      <c r="C192" s="346"/>
      <c r="D192" s="346"/>
      <c r="E192" s="279"/>
      <c r="F192" s="14"/>
    </row>
    <row r="193">
      <c r="A193" s="13"/>
      <c r="B193" s="344">
        <v>187.0</v>
      </c>
      <c r="C193" s="346"/>
      <c r="D193" s="346"/>
      <c r="E193" s="279"/>
      <c r="F193" s="14"/>
    </row>
    <row r="194">
      <c r="A194" s="13"/>
      <c r="B194" s="344">
        <v>188.0</v>
      </c>
      <c r="C194" s="346"/>
      <c r="D194" s="346"/>
      <c r="E194" s="279"/>
      <c r="F194" s="14"/>
    </row>
    <row r="195">
      <c r="A195" s="13"/>
      <c r="B195" s="344">
        <v>189.0</v>
      </c>
      <c r="C195" s="346"/>
      <c r="D195" s="346"/>
      <c r="E195" s="279"/>
      <c r="F195" s="14"/>
    </row>
    <row r="196">
      <c r="A196" s="13"/>
      <c r="B196" s="344">
        <v>190.0</v>
      </c>
      <c r="C196" s="346"/>
      <c r="D196" s="346"/>
      <c r="E196" s="279"/>
      <c r="F196" s="14"/>
    </row>
    <row r="197">
      <c r="A197" s="13"/>
      <c r="B197" s="344">
        <v>191.0</v>
      </c>
      <c r="C197" s="346"/>
      <c r="D197" s="346"/>
      <c r="E197" s="279"/>
      <c r="F197" s="14"/>
    </row>
    <row r="198">
      <c r="A198" s="13"/>
      <c r="B198" s="344">
        <v>192.0</v>
      </c>
      <c r="C198" s="346"/>
      <c r="D198" s="346"/>
      <c r="E198" s="279"/>
      <c r="F198" s="14"/>
    </row>
    <row r="199">
      <c r="A199" s="13"/>
      <c r="B199" s="344">
        <v>193.0</v>
      </c>
      <c r="C199" s="346"/>
      <c r="D199" s="346"/>
      <c r="E199" s="279"/>
      <c r="F199" s="14"/>
    </row>
    <row r="200">
      <c r="A200" s="13"/>
      <c r="B200" s="344">
        <v>194.0</v>
      </c>
      <c r="C200" s="346"/>
      <c r="D200" s="346"/>
      <c r="E200" s="279"/>
      <c r="F200" s="14"/>
    </row>
    <row r="201">
      <c r="A201" s="13"/>
      <c r="B201" s="344">
        <v>195.0</v>
      </c>
      <c r="C201" s="346"/>
      <c r="D201" s="346"/>
      <c r="E201" s="279"/>
      <c r="F201" s="14"/>
    </row>
    <row r="202">
      <c r="A202" s="13"/>
      <c r="B202" s="344">
        <v>196.0</v>
      </c>
      <c r="C202" s="346"/>
      <c r="D202" s="346"/>
      <c r="E202" s="279"/>
      <c r="F202" s="14"/>
    </row>
    <row r="203">
      <c r="A203" s="13"/>
      <c r="B203" s="344">
        <v>197.0</v>
      </c>
      <c r="C203" s="346"/>
      <c r="D203" s="346"/>
      <c r="E203" s="279"/>
      <c r="F203" s="14"/>
    </row>
    <row r="204">
      <c r="A204" s="13"/>
      <c r="B204" s="344">
        <v>198.0</v>
      </c>
      <c r="C204" s="346"/>
      <c r="D204" s="346"/>
      <c r="E204" s="279"/>
      <c r="F204" s="14"/>
    </row>
    <row r="205">
      <c r="A205" s="13"/>
      <c r="B205" s="344">
        <v>199.0</v>
      </c>
      <c r="C205" s="346"/>
      <c r="D205" s="346"/>
      <c r="E205" s="279"/>
      <c r="F205" s="14"/>
    </row>
    <row r="206">
      <c r="A206" s="13"/>
      <c r="B206" s="349">
        <v>200.0</v>
      </c>
      <c r="C206" s="350"/>
      <c r="D206" s="350"/>
      <c r="E206" s="287"/>
      <c r="F206" s="14"/>
    </row>
    <row r="207" ht="33.75" customHeight="1">
      <c r="A207" s="21"/>
      <c r="B207" s="338" t="s">
        <v>464</v>
      </c>
      <c r="C207" s="299"/>
      <c r="D207" s="299"/>
      <c r="E207" s="300"/>
      <c r="F207" s="23"/>
    </row>
  </sheetData>
  <mergeCells count="5">
    <mergeCell ref="A1:A7"/>
    <mergeCell ref="B1:F6"/>
    <mergeCell ref="A8:A207"/>
    <mergeCell ref="F8:F207"/>
    <mergeCell ref="B207:E207"/>
  </mergeCells>
  <hyperlinks>
    <hyperlink r:id="rId1" ref="E8"/>
  </hyperlinks>
  <drawing r:id="rId2"/>
</worksheet>
</file>